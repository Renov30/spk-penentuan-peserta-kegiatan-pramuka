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Penilai 1" sheetId="2" state="visible" r:id="rId2"/>
    <sheet name="Penilai 2" sheetId="3" state="visible" r:id="rId3"/>
    <sheet name="Penilai 3" sheetId="4" state="visible" r:id="rId4"/>
    <sheet name="Rekap Nilai" sheetId="5" state="visible" r:id="rId5"/>
    <sheet name="Langkah 1-3" sheetId="6" state="visible" r:id="rId6"/>
    <sheet name="Langkah 4-6" sheetId="7" state="visible" r:id="rId7"/>
    <sheet name="Hasil &amp; 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8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sz val="10"/>
    </font>
    <font>
      <color rgb="000000FF"/>
      <sz val="11"/>
    </font>
    <font>
      <b val="1"/>
      <color rgb="00FFFFFF"/>
      <sz val="14"/>
    </font>
    <font>
      <b val="1"/>
      <sz val="14"/>
    </font>
    <font>
      <b val="1"/>
      <color rgb="00FFFFFF"/>
      <sz val="12"/>
    </font>
    <font>
      <b val="1"/>
    </font>
    <font>
      <b val="1"/>
      <color rgb="001F4E79"/>
    </font>
    <font>
      <b val="1"/>
      <color rgb="0016A34A"/>
      <sz val="14"/>
    </font>
    <font>
      <b val="1"/>
      <color rgb="00000000"/>
      <sz val="10"/>
    </font>
    <font>
      <b val="1"/>
      <sz val="11"/>
    </font>
    <font>
      <i val="1"/>
      <sz val="9"/>
    </font>
    <font>
      <b val="1"/>
      <color rgb="000D9488"/>
      <sz val="11"/>
    </font>
    <font>
      <i val="1"/>
    </font>
    <font>
      <i val="1"/>
      <color rgb="00666666"/>
      <sz val="9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FFFCC"/>
        <bgColor rgb="00FFFFCC"/>
      </patternFill>
    </fill>
    <fill>
      <patternFill patternType="solid">
        <fgColor rgb="003B82F6"/>
        <bgColor rgb="003B82F6"/>
      </patternFill>
    </fill>
    <fill>
      <patternFill patternType="solid">
        <fgColor rgb="00DBEAFE"/>
        <bgColor rgb="00DBEAFE"/>
      </patternFill>
    </fill>
    <fill>
      <patternFill patternType="solid">
        <fgColor rgb="0010B981"/>
        <bgColor rgb="0010B981"/>
      </patternFill>
    </fill>
    <fill>
      <patternFill patternType="solid">
        <fgColor rgb="00D1FAE5"/>
        <bgColor rgb="00D1FAE5"/>
      </patternFill>
    </fill>
    <fill>
      <patternFill patternType="solid">
        <fgColor rgb="00EF4444"/>
        <bgColor rgb="00EF4444"/>
      </patternFill>
    </fill>
    <fill>
      <patternFill patternType="solid">
        <fgColor rgb="00FEE2E2"/>
        <bgColor rgb="00FEE2E2"/>
      </patternFill>
    </fill>
    <fill>
      <patternFill patternType="solid">
        <fgColor rgb="002563EB"/>
        <bgColor rgb="002563EB"/>
      </patternFill>
    </fill>
    <fill>
      <patternFill patternType="solid">
        <fgColor rgb="0016A34A"/>
        <bgColor rgb="0016A34A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CA8A04"/>
        <bgColor rgb="00CA8A04"/>
      </patternFill>
    </fill>
    <fill>
      <patternFill patternType="solid">
        <fgColor rgb="00FFF2CC"/>
        <bgColor rgb="00FFF2CC"/>
      </patternFill>
    </fill>
    <fill>
      <patternFill patternType="solid">
        <fgColor rgb="009333EA"/>
        <bgColor rgb="009333EA"/>
      </patternFill>
    </fill>
    <fill>
      <patternFill patternType="solid">
        <fgColor rgb="00E9D5FF"/>
        <bgColor rgb="00E9D5FF"/>
      </patternFill>
    </fill>
    <fill>
      <patternFill patternType="solid">
        <fgColor rgb="00D97706"/>
        <bgColor rgb="00D97706"/>
      </patternFill>
    </fill>
    <fill>
      <patternFill patternType="solid">
        <fgColor rgb="00FEF3C7"/>
        <bgColor rgb="00FEF3C7"/>
      </patternFill>
    </fill>
    <fill>
      <patternFill patternType="solid">
        <fgColor rgb="000D9488"/>
        <bgColor rgb="000D9488"/>
      </patternFill>
    </fill>
    <fill>
      <patternFill patternType="solid">
        <fgColor rgb="00CCFBF1"/>
        <bgColor rgb="00CCFB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3" fillId="11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3" fillId="12" borderId="1" applyAlignment="1" pivotButton="0" quotePrefix="0" xfId="0">
      <alignment horizontal="center" vertical="center" wrapText="1"/>
    </xf>
    <xf numFmtId="164" fontId="4" fillId="13" borderId="1" applyAlignment="1" pivotButton="0" quotePrefix="0" xfId="0">
      <alignment horizontal="center" vertical="center" wrapText="1"/>
    </xf>
    <xf numFmtId="164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3" fillId="15" borderId="1" applyAlignment="1" pivotButton="0" quotePrefix="0" xfId="0">
      <alignment horizontal="center" vertical="center" wrapText="1"/>
    </xf>
    <xf numFmtId="164" fontId="4" fillId="1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17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3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18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0" fillId="19" borderId="1" pivotButton="0" quotePrefix="0" xfId="0"/>
    <xf numFmtId="0" fontId="13" fillId="0" borderId="0" pivotButton="0" quotePrefix="0" xfId="0"/>
    <xf numFmtId="0" fontId="3" fillId="19" borderId="1" applyAlignment="1" pivotButton="0" quotePrefix="0" xfId="0">
      <alignment horizontal="center" vertical="center" wrapText="1"/>
    </xf>
    <xf numFmtId="2" fontId="4" fillId="20" borderId="1" applyAlignment="1" pivotButton="0" quotePrefix="0" xfId="0">
      <alignment horizontal="center" vertical="center" wrapText="1"/>
    </xf>
    <xf numFmtId="2" fontId="4" fillId="14" borderId="1" applyAlignment="1" pivotButton="0" quotePrefix="0" xfId="0">
      <alignment horizontal="center" vertical="center" wrapText="1"/>
    </xf>
    <xf numFmtId="164" fontId="4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0" fillId="21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3" fillId="21" borderId="1" applyAlignment="1" pivotButton="0" quotePrefix="0" xfId="0">
      <alignment horizontal="center" vertical="center" wrapText="1"/>
    </xf>
    <xf numFmtId="164" fontId="4" fillId="22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  <xf numFmtId="0" fontId="9" fillId="0" borderId="0" pivotButton="0" quotePrefix="0" xfId="0"/>
    <xf numFmtId="2" fontId="4" fillId="13" borderId="1" applyAlignment="1" pivotButton="0" quotePrefix="0" xfId="0">
      <alignment horizontal="center" vertical="center" wrapText="1"/>
    </xf>
    <xf numFmtId="2" fontId="9" fillId="16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</cols>
  <sheetData>
    <row r="1">
      <c r="A1" s="1" t="inlineStr">
        <is>
          <t>FUZZY AHP - 3 PENILAI</t>
        </is>
      </c>
    </row>
    <row r="3">
      <c r="A3" s="2" t="inlineStr">
        <is>
          <t>BOBOT KRITERIA</t>
        </is>
      </c>
    </row>
    <row r="4">
      <c r="A4" s="3" t="inlineStr">
        <is>
          <t>Kode</t>
        </is>
      </c>
      <c r="B4" s="3" t="inlineStr">
        <is>
          <t>Kriteria</t>
        </is>
      </c>
      <c r="C4" s="3" t="inlineStr">
        <is>
          <t>Bobot</t>
        </is>
      </c>
    </row>
    <row r="5">
      <c r="A5" s="4" t="inlineStr">
        <is>
          <t>K1</t>
        </is>
      </c>
      <c r="B5" s="5" t="inlineStr">
        <is>
          <t>Status Keaktifan</t>
        </is>
      </c>
      <c r="C5" s="6" t="n">
        <v>1</v>
      </c>
    </row>
    <row r="6">
      <c r="A6" s="4" t="inlineStr">
        <is>
          <t>K2</t>
        </is>
      </c>
      <c r="B6" s="5" t="inlineStr">
        <is>
          <t>Pencapaian SKU</t>
        </is>
      </c>
      <c r="C6" s="6" t="n">
        <v>2</v>
      </c>
    </row>
    <row r="7">
      <c r="A7" s="4" t="inlineStr">
        <is>
          <t>K3</t>
        </is>
      </c>
      <c r="B7" s="5" t="inlineStr">
        <is>
          <t>Pencapaian SPG</t>
        </is>
      </c>
      <c r="C7" s="6" t="n">
        <v>2</v>
      </c>
    </row>
    <row r="8">
      <c r="A8" s="4" t="inlineStr">
        <is>
          <t>K4</t>
        </is>
      </c>
      <c r="B8" s="5" t="inlineStr">
        <is>
          <t>Kesehatan Jasmani</t>
        </is>
      </c>
      <c r="C8" s="6" t="n">
        <v>3</v>
      </c>
    </row>
    <row r="9">
      <c r="A9" s="4" t="inlineStr">
        <is>
          <t>K5</t>
        </is>
      </c>
      <c r="B9" s="5" t="inlineStr">
        <is>
          <t>Tes Wawancara</t>
        </is>
      </c>
      <c r="C9" s="6" t="n">
        <v>4</v>
      </c>
    </row>
    <row r="10">
      <c r="A10" s="4" t="inlineStr">
        <is>
          <t>K6</t>
        </is>
      </c>
      <c r="B10" s="5" t="inlineStr">
        <is>
          <t>Tes Pilihan Ganda</t>
        </is>
      </c>
      <c r="C10" s="6" t="n">
        <v>5</v>
      </c>
    </row>
    <row r="12">
      <c r="A12" s="2" t="inlineStr">
        <is>
          <t>PESERTA</t>
        </is>
      </c>
    </row>
    <row r="13">
      <c r="A13" s="3" t="inlineStr">
        <is>
          <t>No</t>
        </is>
      </c>
      <c r="B13" s="3" t="inlineStr">
        <is>
          <t>Nama</t>
        </is>
      </c>
    </row>
    <row r="14">
      <c r="A14" s="5" t="n">
        <v>1</v>
      </c>
      <c r="B14" s="6" t="inlineStr">
        <is>
          <t>David Kulian</t>
        </is>
      </c>
    </row>
    <row r="15">
      <c r="A15" s="5" t="n">
        <v>2</v>
      </c>
      <c r="B15" s="6" t="inlineStr">
        <is>
          <t>Siti Aminah</t>
        </is>
      </c>
    </row>
    <row r="16">
      <c r="A16" s="5" t="n">
        <v>3</v>
      </c>
      <c r="B16" s="6" t="inlineStr">
        <is>
          <t>Budi Santoso</t>
        </is>
      </c>
    </row>
    <row r="17">
      <c r="A17" s="5" t="n">
        <v>4</v>
      </c>
      <c r="B17" s="6" t="inlineStr">
        <is>
          <t>Dewi Lestari</t>
        </is>
      </c>
    </row>
    <row r="18">
      <c r="A18" s="5" t="n">
        <v>5</v>
      </c>
      <c r="B18" s="6" t="inlineStr">
        <is>
          <t>Ahmad Fauzi</t>
        </is>
      </c>
    </row>
    <row r="19">
      <c r="A19" s="5" t="n">
        <v>6</v>
      </c>
      <c r="B19" s="6" t="inlineStr">
        <is>
          <t>Rina Wati</t>
        </is>
      </c>
    </row>
    <row r="20">
      <c r="A20" s="5" t="n">
        <v>7</v>
      </c>
      <c r="B20" s="6" t="inlineStr">
        <is>
          <t>Joko Susilo</t>
        </is>
      </c>
    </row>
    <row r="21">
      <c r="A21" s="5" t="n">
        <v>8</v>
      </c>
      <c r="B21" s="6" t="inlineStr">
        <is>
          <t>Maya Sari</t>
        </is>
      </c>
    </row>
    <row r="22">
      <c r="A22" s="5" t="n">
        <v>9</v>
      </c>
      <c r="B22" s="6" t="inlineStr">
        <is>
          <t>Andi Pratama</t>
        </is>
      </c>
    </row>
    <row r="23">
      <c r="A23" s="5" t="n">
        <v>10</v>
      </c>
      <c r="B23" s="6" t="inlineStr">
        <is>
          <t>Lina Marlina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7" t="inlineStr">
        <is>
          <t>INPUT PENILAI 1 (K1, K2)</t>
        </is>
      </c>
    </row>
    <row r="3">
      <c r="A3" s="8" t="inlineStr">
        <is>
          <t>No</t>
        </is>
      </c>
      <c r="B3" s="8" t="inlineStr">
        <is>
          <t>Nama</t>
        </is>
      </c>
      <c r="C3" s="8" t="inlineStr">
        <is>
          <t>K1</t>
        </is>
      </c>
      <c r="D3" s="8" t="inlineStr">
        <is>
          <t>K2</t>
        </is>
      </c>
    </row>
    <row r="4">
      <c r="A4" s="5" t="n">
        <v>1</v>
      </c>
      <c r="B4" s="9">
        <f>'Input'!B14</f>
        <v/>
      </c>
      <c r="C4" s="6" t="n">
        <v>85</v>
      </c>
      <c r="D4" s="6" t="n">
        <v>78</v>
      </c>
    </row>
    <row r="5">
      <c r="A5" s="5" t="n">
        <v>2</v>
      </c>
      <c r="B5" s="9">
        <f>'Input'!B15</f>
        <v/>
      </c>
      <c r="C5" s="6" t="n">
        <v>78</v>
      </c>
      <c r="D5" s="6" t="n">
        <v>82</v>
      </c>
    </row>
    <row r="6">
      <c r="A6" s="5" t="n">
        <v>3</v>
      </c>
      <c r="B6" s="9">
        <f>'Input'!B16</f>
        <v/>
      </c>
      <c r="C6" s="6" t="n">
        <v>92</v>
      </c>
      <c r="D6" s="6" t="n">
        <v>88</v>
      </c>
    </row>
    <row r="7">
      <c r="A7" s="5" t="n">
        <v>4</v>
      </c>
      <c r="B7" s="9">
        <f>'Input'!B17</f>
        <v/>
      </c>
      <c r="C7" s="6" t="n">
        <v>80</v>
      </c>
      <c r="D7" s="6" t="n">
        <v>85</v>
      </c>
    </row>
    <row r="8">
      <c r="A8" s="5" t="n">
        <v>5</v>
      </c>
      <c r="B8" s="9">
        <f>'Input'!B18</f>
        <v/>
      </c>
      <c r="C8" s="6" t="n">
        <v>88</v>
      </c>
      <c r="D8" s="6" t="n">
        <v>90</v>
      </c>
    </row>
    <row r="9">
      <c r="A9" s="5" t="n">
        <v>6</v>
      </c>
      <c r="B9" s="9">
        <f>'Input'!B19</f>
        <v/>
      </c>
      <c r="C9" s="6" t="n">
        <v>75</v>
      </c>
      <c r="D9" s="6" t="n">
        <v>80</v>
      </c>
    </row>
    <row r="10">
      <c r="A10" s="5" t="n">
        <v>7</v>
      </c>
      <c r="B10" s="9">
        <f>'Input'!B20</f>
        <v/>
      </c>
      <c r="C10" s="6" t="n">
        <v>82</v>
      </c>
      <c r="D10" s="6" t="n">
        <v>78</v>
      </c>
    </row>
    <row r="11">
      <c r="A11" s="5" t="n">
        <v>8</v>
      </c>
      <c r="B11" s="9">
        <f>'Input'!B21</f>
        <v/>
      </c>
      <c r="C11" s="6" t="n">
        <v>90</v>
      </c>
      <c r="D11" s="6" t="n">
        <v>85</v>
      </c>
    </row>
    <row r="12">
      <c r="A12" s="5" t="n">
        <v>9</v>
      </c>
      <c r="B12" s="9">
        <f>'Input'!B22</f>
        <v/>
      </c>
      <c r="C12" s="6" t="n">
        <v>85</v>
      </c>
      <c r="D12" s="6" t="n">
        <v>82</v>
      </c>
    </row>
    <row r="13">
      <c r="A13" s="5" t="n">
        <v>10</v>
      </c>
      <c r="B13" s="9">
        <f>'Input'!B23</f>
        <v/>
      </c>
      <c r="C13" s="6" t="n">
        <v>78</v>
      </c>
      <c r="D13" s="6" t="n">
        <v>80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0" t="inlineStr">
        <is>
          <t>INPUT PENILAI 2 (K3, K4)</t>
        </is>
      </c>
    </row>
    <row r="3">
      <c r="A3" s="11" t="inlineStr">
        <is>
          <t>No</t>
        </is>
      </c>
      <c r="B3" s="11" t="inlineStr">
        <is>
          <t>Nama</t>
        </is>
      </c>
      <c r="C3" s="11" t="inlineStr">
        <is>
          <t>K3</t>
        </is>
      </c>
      <c r="D3" s="11" t="inlineStr">
        <is>
          <t>K4</t>
        </is>
      </c>
    </row>
    <row r="4">
      <c r="A4" s="5" t="n">
        <v>1</v>
      </c>
      <c r="B4" s="12">
        <f>'Input'!B14</f>
        <v/>
      </c>
      <c r="C4" s="6" t="n">
        <v>88</v>
      </c>
      <c r="D4" s="6" t="n">
        <v>92</v>
      </c>
    </row>
    <row r="5">
      <c r="A5" s="5" t="n">
        <v>2</v>
      </c>
      <c r="B5" s="12">
        <f>'Input'!B15</f>
        <v/>
      </c>
      <c r="C5" s="6" t="n">
        <v>82</v>
      </c>
      <c r="D5" s="6" t="n">
        <v>88</v>
      </c>
    </row>
    <row r="6">
      <c r="A6" s="5" t="n">
        <v>3</v>
      </c>
      <c r="B6" s="12">
        <f>'Input'!B16</f>
        <v/>
      </c>
      <c r="C6" s="6" t="n">
        <v>90</v>
      </c>
      <c r="D6" s="6" t="n">
        <v>85</v>
      </c>
    </row>
    <row r="7">
      <c r="A7" s="5" t="n">
        <v>4</v>
      </c>
      <c r="B7" s="12">
        <f>'Input'!B17</f>
        <v/>
      </c>
      <c r="C7" s="6" t="n">
        <v>85</v>
      </c>
      <c r="D7" s="6" t="n">
        <v>90</v>
      </c>
    </row>
    <row r="8">
      <c r="A8" s="5" t="n">
        <v>5</v>
      </c>
      <c r="B8" s="12">
        <f>'Input'!B18</f>
        <v/>
      </c>
      <c r="C8" s="6" t="n">
        <v>87</v>
      </c>
      <c r="D8" s="6" t="n">
        <v>80</v>
      </c>
    </row>
    <row r="9">
      <c r="A9" s="5" t="n">
        <v>6</v>
      </c>
      <c r="B9" s="12">
        <f>'Input'!B19</f>
        <v/>
      </c>
      <c r="C9" s="6" t="n">
        <v>80</v>
      </c>
      <c r="D9" s="6" t="n">
        <v>85</v>
      </c>
    </row>
    <row r="10">
      <c r="A10" s="5" t="n">
        <v>7</v>
      </c>
      <c r="B10" s="12">
        <f>'Input'!B20</f>
        <v/>
      </c>
      <c r="C10" s="6" t="n">
        <v>88</v>
      </c>
      <c r="D10" s="6" t="n">
        <v>82</v>
      </c>
    </row>
    <row r="11">
      <c r="A11" s="5" t="n">
        <v>8</v>
      </c>
      <c r="B11" s="12">
        <f>'Input'!B21</f>
        <v/>
      </c>
      <c r="C11" s="6" t="n">
        <v>85</v>
      </c>
      <c r="D11" s="6" t="n">
        <v>88</v>
      </c>
    </row>
    <row r="12">
      <c r="A12" s="5" t="n">
        <v>9</v>
      </c>
      <c r="B12" s="12">
        <f>'Input'!B22</f>
        <v/>
      </c>
      <c r="C12" s="6" t="n">
        <v>82</v>
      </c>
      <c r="D12" s="6" t="n">
        <v>85</v>
      </c>
    </row>
    <row r="13">
      <c r="A13" s="5" t="n">
        <v>10</v>
      </c>
      <c r="B13" s="12">
        <f>'Input'!B23</f>
        <v/>
      </c>
      <c r="C13" s="6" t="n">
        <v>85</v>
      </c>
      <c r="D13" s="6" t="n">
        <v>90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3" t="inlineStr">
        <is>
          <t>INPUT PENILAI 3 (K5, K6)</t>
        </is>
      </c>
    </row>
    <row r="3">
      <c r="A3" s="14" t="inlineStr">
        <is>
          <t>No</t>
        </is>
      </c>
      <c r="B3" s="14" t="inlineStr">
        <is>
          <t>Nama</t>
        </is>
      </c>
      <c r="C3" s="14" t="inlineStr">
        <is>
          <t>K5</t>
        </is>
      </c>
      <c r="D3" s="14" t="inlineStr">
        <is>
          <t>K6</t>
        </is>
      </c>
    </row>
    <row r="4">
      <c r="A4" s="5" t="n">
        <v>1</v>
      </c>
      <c r="B4" s="15">
        <f>'Input'!B14</f>
        <v/>
      </c>
      <c r="C4" s="6" t="n">
        <v>87</v>
      </c>
      <c r="D4" s="6" t="n">
        <v>85</v>
      </c>
    </row>
    <row r="5">
      <c r="A5" s="5" t="n">
        <v>2</v>
      </c>
      <c r="B5" s="15">
        <f>'Input'!B15</f>
        <v/>
      </c>
      <c r="C5" s="6" t="n">
        <v>80</v>
      </c>
      <c r="D5" s="6" t="n">
        <v>78</v>
      </c>
    </row>
    <row r="6">
      <c r="A6" s="5" t="n">
        <v>3</v>
      </c>
      <c r="B6" s="15">
        <f>'Input'!B16</f>
        <v/>
      </c>
      <c r="C6" s="6" t="n">
        <v>88</v>
      </c>
      <c r="D6" s="6" t="n">
        <v>90</v>
      </c>
    </row>
    <row r="7">
      <c r="A7" s="5" t="n">
        <v>4</v>
      </c>
      <c r="B7" s="15">
        <f>'Input'!B17</f>
        <v/>
      </c>
      <c r="C7" s="6" t="n">
        <v>82</v>
      </c>
      <c r="D7" s="6" t="n">
        <v>80</v>
      </c>
    </row>
    <row r="8">
      <c r="A8" s="5" t="n">
        <v>5</v>
      </c>
      <c r="B8" s="15">
        <f>'Input'!B18</f>
        <v/>
      </c>
      <c r="C8" s="6" t="n">
        <v>90</v>
      </c>
      <c r="D8" s="6" t="n">
        <v>88</v>
      </c>
    </row>
    <row r="9">
      <c r="A9" s="5" t="n">
        <v>6</v>
      </c>
      <c r="B9" s="15">
        <f>'Input'!B19</f>
        <v/>
      </c>
      <c r="C9" s="6" t="n">
        <v>85</v>
      </c>
      <c r="D9" s="6" t="n">
        <v>82</v>
      </c>
    </row>
    <row r="10">
      <c r="A10" s="5" t="n">
        <v>7</v>
      </c>
      <c r="B10" s="15">
        <f>'Input'!B20</f>
        <v/>
      </c>
      <c r="C10" s="6" t="n">
        <v>80</v>
      </c>
      <c r="D10" s="6" t="n">
        <v>85</v>
      </c>
    </row>
    <row r="11">
      <c r="A11" s="5" t="n">
        <v>8</v>
      </c>
      <c r="B11" s="15">
        <f>'Input'!B21</f>
        <v/>
      </c>
      <c r="C11" s="6" t="n">
        <v>88</v>
      </c>
      <c r="D11" s="6" t="n">
        <v>92</v>
      </c>
    </row>
    <row r="12">
      <c r="A12" s="5" t="n">
        <v>9</v>
      </c>
      <c r="B12" s="15">
        <f>'Input'!B22</f>
        <v/>
      </c>
      <c r="C12" s="6" t="n">
        <v>85</v>
      </c>
      <c r="D12" s="6" t="n">
        <v>80</v>
      </c>
    </row>
    <row r="13">
      <c r="A13" s="5" t="n">
        <v>10</v>
      </c>
      <c r="B13" s="15">
        <f>'Input'!B23</f>
        <v/>
      </c>
      <c r="C13" s="6" t="n">
        <v>82</v>
      </c>
      <c r="D13" s="6" t="n">
        <v>85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6" t="inlineStr">
        <is>
          <t>REKAP NILAI DARI 3 PENILAI</t>
        </is>
      </c>
    </row>
    <row r="3">
      <c r="A3" s="3" t="inlineStr">
        <is>
          <t>No</t>
        </is>
      </c>
      <c r="B3" s="3" t="inlineStr">
        <is>
          <t>Nama</t>
        </is>
      </c>
      <c r="C3" s="8" t="inlineStr">
        <is>
          <t>K1</t>
        </is>
      </c>
      <c r="D3" s="8" t="inlineStr">
        <is>
          <t>K2</t>
        </is>
      </c>
      <c r="E3" s="11" t="inlineStr">
        <is>
          <t>K3</t>
        </is>
      </c>
      <c r="F3" s="11" t="inlineStr">
        <is>
          <t>K4</t>
        </is>
      </c>
      <c r="G3" s="14" t="inlineStr">
        <is>
          <t>K5</t>
        </is>
      </c>
      <c r="H3" s="14" t="inlineStr">
        <is>
          <t>K6</t>
        </is>
      </c>
    </row>
    <row r="4">
      <c r="A4" s="5" t="n">
        <v>1</v>
      </c>
      <c r="B4" s="4">
        <f>'Input'!B14</f>
        <v/>
      </c>
      <c r="C4" s="9">
        <f>'Penilai 1'!C4</f>
        <v/>
      </c>
      <c r="D4" s="9">
        <f>'Penilai 1'!D4</f>
        <v/>
      </c>
      <c r="E4" s="12">
        <f>'Penilai 2'!C4</f>
        <v/>
      </c>
      <c r="F4" s="12">
        <f>'Penilai 2'!D4</f>
        <v/>
      </c>
      <c r="G4" s="15">
        <f>'Penilai 3'!C4</f>
        <v/>
      </c>
      <c r="H4" s="15">
        <f>'Penilai 3'!D4</f>
        <v/>
      </c>
    </row>
    <row r="5">
      <c r="A5" s="5" t="n">
        <v>2</v>
      </c>
      <c r="B5" s="4">
        <f>'Input'!B15</f>
        <v/>
      </c>
      <c r="C5" s="9">
        <f>'Penilai 1'!C5</f>
        <v/>
      </c>
      <c r="D5" s="9">
        <f>'Penilai 1'!D5</f>
        <v/>
      </c>
      <c r="E5" s="12">
        <f>'Penilai 2'!C5</f>
        <v/>
      </c>
      <c r="F5" s="12">
        <f>'Penilai 2'!D5</f>
        <v/>
      </c>
      <c r="G5" s="15">
        <f>'Penilai 3'!C5</f>
        <v/>
      </c>
      <c r="H5" s="15">
        <f>'Penilai 3'!D5</f>
        <v/>
      </c>
    </row>
    <row r="6">
      <c r="A6" s="5" t="n">
        <v>3</v>
      </c>
      <c r="B6" s="4">
        <f>'Input'!B16</f>
        <v/>
      </c>
      <c r="C6" s="9">
        <f>'Penilai 1'!C6</f>
        <v/>
      </c>
      <c r="D6" s="9">
        <f>'Penilai 1'!D6</f>
        <v/>
      </c>
      <c r="E6" s="12">
        <f>'Penilai 2'!C6</f>
        <v/>
      </c>
      <c r="F6" s="12">
        <f>'Penilai 2'!D6</f>
        <v/>
      </c>
      <c r="G6" s="15">
        <f>'Penilai 3'!C6</f>
        <v/>
      </c>
      <c r="H6" s="15">
        <f>'Penilai 3'!D6</f>
        <v/>
      </c>
    </row>
    <row r="7">
      <c r="A7" s="5" t="n">
        <v>4</v>
      </c>
      <c r="B7" s="4">
        <f>'Input'!B17</f>
        <v/>
      </c>
      <c r="C7" s="9">
        <f>'Penilai 1'!C7</f>
        <v/>
      </c>
      <c r="D7" s="9">
        <f>'Penilai 1'!D7</f>
        <v/>
      </c>
      <c r="E7" s="12">
        <f>'Penilai 2'!C7</f>
        <v/>
      </c>
      <c r="F7" s="12">
        <f>'Penilai 2'!D7</f>
        <v/>
      </c>
      <c r="G7" s="15">
        <f>'Penilai 3'!C7</f>
        <v/>
      </c>
      <c r="H7" s="15">
        <f>'Penilai 3'!D7</f>
        <v/>
      </c>
    </row>
    <row r="8">
      <c r="A8" s="5" t="n">
        <v>5</v>
      </c>
      <c r="B8" s="4">
        <f>'Input'!B18</f>
        <v/>
      </c>
      <c r="C8" s="9">
        <f>'Penilai 1'!C8</f>
        <v/>
      </c>
      <c r="D8" s="9">
        <f>'Penilai 1'!D8</f>
        <v/>
      </c>
      <c r="E8" s="12">
        <f>'Penilai 2'!C8</f>
        <v/>
      </c>
      <c r="F8" s="12">
        <f>'Penilai 2'!D8</f>
        <v/>
      </c>
      <c r="G8" s="15">
        <f>'Penilai 3'!C8</f>
        <v/>
      </c>
      <c r="H8" s="15">
        <f>'Penilai 3'!D8</f>
        <v/>
      </c>
    </row>
    <row r="9">
      <c r="A9" s="5" t="n">
        <v>6</v>
      </c>
      <c r="B9" s="4">
        <f>'Input'!B19</f>
        <v/>
      </c>
      <c r="C9" s="9">
        <f>'Penilai 1'!C9</f>
        <v/>
      </c>
      <c r="D9" s="9">
        <f>'Penilai 1'!D9</f>
        <v/>
      </c>
      <c r="E9" s="12">
        <f>'Penilai 2'!C9</f>
        <v/>
      </c>
      <c r="F9" s="12">
        <f>'Penilai 2'!D9</f>
        <v/>
      </c>
      <c r="G9" s="15">
        <f>'Penilai 3'!C9</f>
        <v/>
      </c>
      <c r="H9" s="15">
        <f>'Penilai 3'!D9</f>
        <v/>
      </c>
    </row>
    <row r="10">
      <c r="A10" s="5" t="n">
        <v>7</v>
      </c>
      <c r="B10" s="4">
        <f>'Input'!B20</f>
        <v/>
      </c>
      <c r="C10" s="9">
        <f>'Penilai 1'!C10</f>
        <v/>
      </c>
      <c r="D10" s="9">
        <f>'Penilai 1'!D10</f>
        <v/>
      </c>
      <c r="E10" s="12">
        <f>'Penilai 2'!C10</f>
        <v/>
      </c>
      <c r="F10" s="12">
        <f>'Penilai 2'!D10</f>
        <v/>
      </c>
      <c r="G10" s="15">
        <f>'Penilai 3'!C10</f>
        <v/>
      </c>
      <c r="H10" s="15">
        <f>'Penilai 3'!D10</f>
        <v/>
      </c>
    </row>
    <row r="11">
      <c r="A11" s="5" t="n">
        <v>8</v>
      </c>
      <c r="B11" s="4">
        <f>'Input'!B21</f>
        <v/>
      </c>
      <c r="C11" s="9">
        <f>'Penilai 1'!C11</f>
        <v/>
      </c>
      <c r="D11" s="9">
        <f>'Penilai 1'!D11</f>
        <v/>
      </c>
      <c r="E11" s="12">
        <f>'Penilai 2'!C11</f>
        <v/>
      </c>
      <c r="F11" s="12">
        <f>'Penilai 2'!D11</f>
        <v/>
      </c>
      <c r="G11" s="15">
        <f>'Penilai 3'!C11</f>
        <v/>
      </c>
      <c r="H11" s="15">
        <f>'Penilai 3'!D11</f>
        <v/>
      </c>
    </row>
    <row r="12">
      <c r="A12" s="5" t="n">
        <v>9</v>
      </c>
      <c r="B12" s="4">
        <f>'Input'!B22</f>
        <v/>
      </c>
      <c r="C12" s="9">
        <f>'Penilai 1'!C12</f>
        <v/>
      </c>
      <c r="D12" s="9">
        <f>'Penilai 1'!D12</f>
        <v/>
      </c>
      <c r="E12" s="12">
        <f>'Penilai 2'!C12</f>
        <v/>
      </c>
      <c r="F12" s="12">
        <f>'Penilai 2'!D12</f>
        <v/>
      </c>
      <c r="G12" s="15">
        <f>'Penilai 3'!C12</f>
        <v/>
      </c>
      <c r="H12" s="15">
        <f>'Penilai 3'!D12</f>
        <v/>
      </c>
    </row>
    <row r="13">
      <c r="A13" s="5" t="n">
        <v>10</v>
      </c>
      <c r="B13" s="4">
        <f>'Input'!B23</f>
        <v/>
      </c>
      <c r="C13" s="9">
        <f>'Penilai 1'!C13</f>
        <v/>
      </c>
      <c r="D13" s="9">
        <f>'Penilai 1'!D13</f>
        <v/>
      </c>
      <c r="E13" s="12">
        <f>'Penilai 2'!C13</f>
        <v/>
      </c>
      <c r="F13" s="12">
        <f>'Penilai 2'!D13</f>
        <v/>
      </c>
      <c r="G13" s="15">
        <f>'Penilai 3'!C13</f>
        <v/>
      </c>
      <c r="H13" s="15">
        <f>'Penilai 3'!D13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6" t="inlineStr">
        <is>
          <t>LANGKAH 1-3: MATRIKS CRISP, EIGENVECTOR &amp; UJI KONSISTENSI</t>
        </is>
      </c>
    </row>
    <row r="3">
      <c r="A3" s="17" t="inlineStr">
        <is>
          <t>LANGKAH 1: MATRIKS PERBANDINGAN BERPASANGAN (CRISP)</t>
        </is>
      </c>
      <c r="B3" s="18" t="n"/>
      <c r="C3" s="18" t="n"/>
      <c r="D3" s="18" t="n"/>
      <c r="E3" s="18" t="n"/>
      <c r="F3" s="18" t="n"/>
      <c r="G3" s="18" t="n"/>
    </row>
    <row r="4">
      <c r="A4" s="19" t="inlineStr"/>
      <c r="B4" s="19" t="inlineStr">
        <is>
          <t>K1</t>
        </is>
      </c>
      <c r="C4" s="19" t="inlineStr">
        <is>
          <t>K2</t>
        </is>
      </c>
      <c r="D4" s="19" t="inlineStr">
        <is>
          <t>K3</t>
        </is>
      </c>
      <c r="E4" s="19" t="inlineStr">
        <is>
          <t>K4</t>
        </is>
      </c>
      <c r="F4" s="19" t="inlineStr">
        <is>
          <t>K5</t>
        </is>
      </c>
      <c r="G4" s="19" t="inlineStr">
        <is>
          <t>K6</t>
        </is>
      </c>
    </row>
    <row r="5">
      <c r="A5" s="4" t="inlineStr">
        <is>
          <t>K1</t>
        </is>
      </c>
      <c r="B5" s="20" t="n">
        <v>1</v>
      </c>
      <c r="C5" s="20">
        <f>IF('Input'!$C$5/'Input'!$C$6&gt;=1,MIN(9,MAX(1,'Input'!$C$5/'Input'!$C$6)),MAX(1/9,'Input'!$C$5/'Input'!$C$6))</f>
        <v/>
      </c>
      <c r="D5" s="20">
        <f>IF('Input'!$C$5/'Input'!$C$7&gt;=1,MIN(9,MAX(1,'Input'!$C$5/'Input'!$C$7)),MAX(1/9,'Input'!$C$5/'Input'!$C$7))</f>
        <v/>
      </c>
      <c r="E5" s="20">
        <f>IF('Input'!$C$5/'Input'!$C$8&gt;=1,MIN(9,MAX(1,'Input'!$C$5/'Input'!$C$8)),MAX(1/9,'Input'!$C$5/'Input'!$C$8))</f>
        <v/>
      </c>
      <c r="F5" s="20">
        <f>IF('Input'!$C$5/'Input'!$C$9&gt;=1,MIN(9,MAX(1,'Input'!$C$5/'Input'!$C$9)),MAX(1/9,'Input'!$C$5/'Input'!$C$9))</f>
        <v/>
      </c>
      <c r="G5" s="20">
        <f>IF('Input'!$C$5/'Input'!$C$10&gt;=1,MIN(9,MAX(1,'Input'!$C$5/'Input'!$C$10)),MAX(1/9,'Input'!$C$5/'Input'!$C$10))</f>
        <v/>
      </c>
    </row>
    <row r="6">
      <c r="A6" s="4" t="inlineStr">
        <is>
          <t>K2</t>
        </is>
      </c>
      <c r="B6" s="20">
        <f>IF('Input'!$C$6/'Input'!$C$5&gt;=1,MIN(9,MAX(1,'Input'!$C$6/'Input'!$C$5)),MAX(1/9,'Input'!$C$6/'Input'!$C$5))</f>
        <v/>
      </c>
      <c r="C6" s="20" t="n">
        <v>1</v>
      </c>
      <c r="D6" s="20">
        <f>IF('Input'!$C$6/'Input'!$C$7&gt;=1,MIN(9,MAX(1,'Input'!$C$6/'Input'!$C$7)),MAX(1/9,'Input'!$C$6/'Input'!$C$7))</f>
        <v/>
      </c>
      <c r="E6" s="20">
        <f>IF('Input'!$C$6/'Input'!$C$8&gt;=1,MIN(9,MAX(1,'Input'!$C$6/'Input'!$C$8)),MAX(1/9,'Input'!$C$6/'Input'!$C$8))</f>
        <v/>
      </c>
      <c r="F6" s="20">
        <f>IF('Input'!$C$6/'Input'!$C$9&gt;=1,MIN(9,MAX(1,'Input'!$C$6/'Input'!$C$9)),MAX(1/9,'Input'!$C$6/'Input'!$C$9))</f>
        <v/>
      </c>
      <c r="G6" s="20">
        <f>IF('Input'!$C$6/'Input'!$C$10&gt;=1,MIN(9,MAX(1,'Input'!$C$6/'Input'!$C$10)),MAX(1/9,'Input'!$C$6/'Input'!$C$10))</f>
        <v/>
      </c>
    </row>
    <row r="7">
      <c r="A7" s="4" t="inlineStr">
        <is>
          <t>K3</t>
        </is>
      </c>
      <c r="B7" s="20">
        <f>IF('Input'!$C$7/'Input'!$C$5&gt;=1,MIN(9,MAX(1,'Input'!$C$7/'Input'!$C$5)),MAX(1/9,'Input'!$C$7/'Input'!$C$5))</f>
        <v/>
      </c>
      <c r="C7" s="20">
        <f>IF('Input'!$C$7/'Input'!$C$6&gt;=1,MIN(9,MAX(1,'Input'!$C$7/'Input'!$C$6)),MAX(1/9,'Input'!$C$7/'Input'!$C$6))</f>
        <v/>
      </c>
      <c r="D7" s="20" t="n">
        <v>1</v>
      </c>
      <c r="E7" s="20">
        <f>IF('Input'!$C$7/'Input'!$C$8&gt;=1,MIN(9,MAX(1,'Input'!$C$7/'Input'!$C$8)),MAX(1/9,'Input'!$C$7/'Input'!$C$8))</f>
        <v/>
      </c>
      <c r="F7" s="20">
        <f>IF('Input'!$C$7/'Input'!$C$9&gt;=1,MIN(9,MAX(1,'Input'!$C$7/'Input'!$C$9)),MAX(1/9,'Input'!$C$7/'Input'!$C$9))</f>
        <v/>
      </c>
      <c r="G7" s="20">
        <f>IF('Input'!$C$7/'Input'!$C$10&gt;=1,MIN(9,MAX(1,'Input'!$C$7/'Input'!$C$10)),MAX(1/9,'Input'!$C$7/'Input'!$C$10))</f>
        <v/>
      </c>
    </row>
    <row r="8">
      <c r="A8" s="4" t="inlineStr">
        <is>
          <t>K4</t>
        </is>
      </c>
      <c r="B8" s="20">
        <f>IF('Input'!$C$8/'Input'!$C$5&gt;=1,MIN(9,MAX(1,'Input'!$C$8/'Input'!$C$5)),MAX(1/9,'Input'!$C$8/'Input'!$C$5))</f>
        <v/>
      </c>
      <c r="C8" s="20">
        <f>IF('Input'!$C$8/'Input'!$C$6&gt;=1,MIN(9,MAX(1,'Input'!$C$8/'Input'!$C$6)),MAX(1/9,'Input'!$C$8/'Input'!$C$6))</f>
        <v/>
      </c>
      <c r="D8" s="20">
        <f>IF('Input'!$C$8/'Input'!$C$7&gt;=1,MIN(9,MAX(1,'Input'!$C$8/'Input'!$C$7)),MAX(1/9,'Input'!$C$8/'Input'!$C$7))</f>
        <v/>
      </c>
      <c r="E8" s="20" t="n">
        <v>1</v>
      </c>
      <c r="F8" s="20">
        <f>IF('Input'!$C$8/'Input'!$C$9&gt;=1,MIN(9,MAX(1,'Input'!$C$8/'Input'!$C$9)),MAX(1/9,'Input'!$C$8/'Input'!$C$9))</f>
        <v/>
      </c>
      <c r="G8" s="20">
        <f>IF('Input'!$C$8/'Input'!$C$10&gt;=1,MIN(9,MAX(1,'Input'!$C$8/'Input'!$C$10)),MAX(1/9,'Input'!$C$8/'Input'!$C$10))</f>
        <v/>
      </c>
    </row>
    <row r="9">
      <c r="A9" s="4" t="inlineStr">
        <is>
          <t>K5</t>
        </is>
      </c>
      <c r="B9" s="20">
        <f>IF('Input'!$C$9/'Input'!$C$5&gt;=1,MIN(9,MAX(1,'Input'!$C$9/'Input'!$C$5)),MAX(1/9,'Input'!$C$9/'Input'!$C$5))</f>
        <v/>
      </c>
      <c r="C9" s="20">
        <f>IF('Input'!$C$9/'Input'!$C$6&gt;=1,MIN(9,MAX(1,'Input'!$C$9/'Input'!$C$6)),MAX(1/9,'Input'!$C$9/'Input'!$C$6))</f>
        <v/>
      </c>
      <c r="D9" s="20">
        <f>IF('Input'!$C$9/'Input'!$C$7&gt;=1,MIN(9,MAX(1,'Input'!$C$9/'Input'!$C$7)),MAX(1/9,'Input'!$C$9/'Input'!$C$7))</f>
        <v/>
      </c>
      <c r="E9" s="20">
        <f>IF('Input'!$C$9/'Input'!$C$8&gt;=1,MIN(9,MAX(1,'Input'!$C$9/'Input'!$C$8)),MAX(1/9,'Input'!$C$9/'Input'!$C$8))</f>
        <v/>
      </c>
      <c r="F9" s="20" t="n">
        <v>1</v>
      </c>
      <c r="G9" s="20">
        <f>IF('Input'!$C$9/'Input'!$C$10&gt;=1,MIN(9,MAX(1,'Input'!$C$9/'Input'!$C$10)),MAX(1/9,'Input'!$C$9/'Input'!$C$10))</f>
        <v/>
      </c>
    </row>
    <row r="10">
      <c r="A10" s="4" t="inlineStr">
        <is>
          <t>K6</t>
        </is>
      </c>
      <c r="B10" s="20">
        <f>IF('Input'!$C$10/'Input'!$C$5&gt;=1,MIN(9,MAX(1,'Input'!$C$10/'Input'!$C$5)),MAX(1/9,'Input'!$C$10/'Input'!$C$5))</f>
        <v/>
      </c>
      <c r="C10" s="20">
        <f>IF('Input'!$C$10/'Input'!$C$6&gt;=1,MIN(9,MAX(1,'Input'!$C$10/'Input'!$C$6)),MAX(1/9,'Input'!$C$10/'Input'!$C$6))</f>
        <v/>
      </c>
      <c r="D10" s="20">
        <f>IF('Input'!$C$10/'Input'!$C$7&gt;=1,MIN(9,MAX(1,'Input'!$C$10/'Input'!$C$7)),MAX(1/9,'Input'!$C$10/'Input'!$C$7))</f>
        <v/>
      </c>
      <c r="E10" s="20">
        <f>IF('Input'!$C$10/'Input'!$C$8&gt;=1,MIN(9,MAX(1,'Input'!$C$10/'Input'!$C$8)),MAX(1/9,'Input'!$C$10/'Input'!$C$8))</f>
        <v/>
      </c>
      <c r="F10" s="20">
        <f>IF('Input'!$C$10/'Input'!$C$9&gt;=1,MIN(9,MAX(1,'Input'!$C$10/'Input'!$C$9)),MAX(1/9,'Input'!$C$10/'Input'!$C$9))</f>
        <v/>
      </c>
      <c r="G10" s="20" t="n">
        <v>1</v>
      </c>
    </row>
    <row r="12">
      <c r="A12" s="21" t="inlineStr">
        <is>
          <t>LANGKAH 2: PERHITUNGAN VECTOR EIGEN (GEOMETRIC MEAN)</t>
        </is>
      </c>
      <c r="B12" s="22" t="n"/>
      <c r="C12" s="22" t="n"/>
      <c r="D12" s="22" t="n"/>
      <c r="E12" s="22" t="n"/>
      <c r="F12" s="22" t="n"/>
      <c r="G12" s="22" t="n"/>
    </row>
    <row r="13">
      <c r="A13" s="23" t="inlineStr">
        <is>
          <t>Kriteria</t>
        </is>
      </c>
      <c r="B13" s="23" t="inlineStr">
        <is>
          <t>Geometric Mean</t>
        </is>
      </c>
      <c r="C13" s="23" t="inlineStr">
        <is>
          <t>Eigenvector (Wi)</t>
        </is>
      </c>
    </row>
    <row r="14">
      <c r="A14" s="4" t="inlineStr">
        <is>
          <t>Status Keaktifan</t>
        </is>
      </c>
      <c r="B14" s="24">
        <f>(B5*C5*D5*E5*F5*G5)^(1/6)</f>
        <v/>
      </c>
      <c r="C14" s="24">
        <f>B14/$B$20</f>
        <v/>
      </c>
    </row>
    <row r="15">
      <c r="A15" s="4" t="inlineStr">
        <is>
          <t>Pencapaian SKU</t>
        </is>
      </c>
      <c r="B15" s="24">
        <f>(B6*C6*D6*E6*F6*G6)^(1/6)</f>
        <v/>
      </c>
      <c r="C15" s="24">
        <f>B15/$B$20</f>
        <v/>
      </c>
    </row>
    <row r="16">
      <c r="A16" s="4" t="inlineStr">
        <is>
          <t>Pencapaian SPG</t>
        </is>
      </c>
      <c r="B16" s="24">
        <f>(B7*C7*D7*E7*F7*G7)^(1/6)</f>
        <v/>
      </c>
      <c r="C16" s="24">
        <f>B16/$B$20</f>
        <v/>
      </c>
    </row>
    <row r="17">
      <c r="A17" s="4" t="inlineStr">
        <is>
          <t>Kesehatan Jasmani</t>
        </is>
      </c>
      <c r="B17" s="24">
        <f>(B8*C8*D8*E8*F8*G8)^(1/6)</f>
        <v/>
      </c>
      <c r="C17" s="24">
        <f>B17/$B$20</f>
        <v/>
      </c>
    </row>
    <row r="18">
      <c r="A18" s="4" t="inlineStr">
        <is>
          <t>Tes Wawancara</t>
        </is>
      </c>
      <c r="B18" s="24">
        <f>(B9*C9*D9*E9*F9*G9)^(1/6)</f>
        <v/>
      </c>
      <c r="C18" s="24">
        <f>B18/$B$20</f>
        <v/>
      </c>
    </row>
    <row r="19">
      <c r="A19" s="4" t="inlineStr">
        <is>
          <t>Tes Pilihan Ganda</t>
        </is>
      </c>
      <c r="B19" s="24">
        <f>(B10*C10*D10*E10*F10*G10)^(1/6)</f>
        <v/>
      </c>
      <c r="C19" s="24">
        <f>B19/$B$20</f>
        <v/>
      </c>
    </row>
    <row r="20">
      <c r="A20" s="5" t="inlineStr">
        <is>
          <t>Total</t>
        </is>
      </c>
      <c r="B20" s="25">
        <f>SUM(B14:B19)</f>
        <v/>
      </c>
      <c r="C20" s="26">
        <f>SUM(C14:C19)</f>
        <v/>
      </c>
    </row>
    <row r="22">
      <c r="A22" s="27" t="inlineStr">
        <is>
          <t>LANGKAH 3: UJI KONSISTENSI</t>
        </is>
      </c>
      <c r="B22" s="28" t="n"/>
      <c r="C22" s="28" t="n"/>
      <c r="D22" s="28" t="n"/>
      <c r="E22" s="28" t="n"/>
      <c r="F22" s="28" t="n"/>
      <c r="G22" s="28" t="n"/>
    </row>
    <row r="23">
      <c r="A23" s="29" t="inlineStr">
        <is>
          <t>Kriteria</t>
        </is>
      </c>
      <c r="B23" s="29" t="inlineStr">
        <is>
          <t>A*w</t>
        </is>
      </c>
      <c r="C23" s="29" t="inlineStr">
        <is>
          <t>(A*w)/w</t>
        </is>
      </c>
    </row>
    <row r="24">
      <c r="A24" s="4" t="inlineStr">
        <is>
          <t>Status Keaktifan</t>
        </is>
      </c>
      <c r="B24" s="30">
        <f>B5*$C$14+C5*$C$15+D5*$C$16+E5*$C$17+F5*$C$18+G5*$C$19</f>
        <v/>
      </c>
      <c r="C24" s="30">
        <f>B24/$C$14</f>
        <v/>
      </c>
    </row>
    <row r="25">
      <c r="A25" s="4" t="inlineStr">
        <is>
          <t>Pencapaian SKU</t>
        </is>
      </c>
      <c r="B25" s="30">
        <f>B6*$C$14+C6*$C$15+D6*$C$16+E6*$C$17+F6*$C$18+G6*$C$19</f>
        <v/>
      </c>
      <c r="C25" s="30">
        <f>B25/$C$15</f>
        <v/>
      </c>
    </row>
    <row r="26">
      <c r="A26" s="4" t="inlineStr">
        <is>
          <t>Pencapaian SPG</t>
        </is>
      </c>
      <c r="B26" s="30">
        <f>B7*$C$14+C7*$C$15+D7*$C$16+E7*$C$17+F7*$C$18+G7*$C$19</f>
        <v/>
      </c>
      <c r="C26" s="30">
        <f>B26/$C$16</f>
        <v/>
      </c>
    </row>
    <row r="27">
      <c r="A27" s="4" t="inlineStr">
        <is>
          <t>Kesehatan Jasmani</t>
        </is>
      </c>
      <c r="B27" s="30">
        <f>B8*$C$14+C8*$C$15+D8*$C$16+E8*$C$17+F8*$C$18+G8*$C$19</f>
        <v/>
      </c>
      <c r="C27" s="30">
        <f>B27/$C$17</f>
        <v/>
      </c>
    </row>
    <row r="28">
      <c r="A28" s="4" t="inlineStr">
        <is>
          <t>Tes Wawancara</t>
        </is>
      </c>
      <c r="B28" s="30">
        <f>B9*$C$14+C9*$C$15+D9*$C$16+E9*$C$17+F9*$C$18+G9*$C$19</f>
        <v/>
      </c>
      <c r="C28" s="30">
        <f>B28/$C$18</f>
        <v/>
      </c>
    </row>
    <row r="29">
      <c r="A29" s="4" t="inlineStr">
        <is>
          <t>Tes Pilihan Ganda</t>
        </is>
      </c>
      <c r="B29" s="30">
        <f>B10*$C$14+C10*$C$15+D10*$C$16+E10*$C$17+F10*$C$18+G10*$C$19</f>
        <v/>
      </c>
      <c r="C29" s="30">
        <f>B29/$C$19</f>
        <v/>
      </c>
    </row>
    <row r="31">
      <c r="A31" s="31" t="inlineStr">
        <is>
          <t>Lambda Max:</t>
        </is>
      </c>
      <c r="B31" s="25">
        <f>AVERAGE(C24:C29)</f>
        <v/>
      </c>
    </row>
    <row r="32">
      <c r="A32" s="31" t="inlineStr">
        <is>
          <t>CI:</t>
        </is>
      </c>
      <c r="B32" s="30">
        <f>(B31-6)/(6-1)</f>
        <v/>
      </c>
    </row>
    <row r="33">
      <c r="A33" s="31" t="inlineStr">
        <is>
          <t>RI (n=6):</t>
        </is>
      </c>
      <c r="B33" s="5" t="n">
        <v>1.24</v>
      </c>
    </row>
    <row r="34">
      <c r="A34" s="31" t="inlineStr">
        <is>
          <t>CR:</t>
        </is>
      </c>
      <c r="B34" s="25">
        <f>B32/B33</f>
        <v/>
      </c>
    </row>
    <row r="35">
      <c r="A35" s="31" t="inlineStr">
        <is>
          <t>Status:</t>
        </is>
      </c>
      <c r="B35" s="5">
        <f>IF(B34&lt;=0.1,"KONSISTEN","TIDAK KONSISTEN")</f>
        <v/>
      </c>
      <c r="C35" s="32" t="n"/>
      <c r="D35" s="33" t="n"/>
    </row>
  </sheetData>
  <mergeCells count="5">
    <mergeCell ref="A3:G3"/>
    <mergeCell ref="A22:G22"/>
    <mergeCell ref="B35:D35"/>
    <mergeCell ref="A12:G1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>
      <c r="A1" s="16" t="inlineStr">
        <is>
          <t>LANGKAH 4-6: FUZZIFIKASI, SYNTHETIC EXTENT &amp; BOBOT GLOBAL</t>
        </is>
      </c>
    </row>
    <row r="3">
      <c r="A3" s="34" t="inlineStr">
        <is>
          <t>LANGKAH 4: FUZZIFIKASI MATRIKS PERBANDINGAN BERPASANGAN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</row>
    <row r="4">
      <c r="A4" s="36" t="inlineStr"/>
      <c r="B4" s="36" t="inlineStr">
        <is>
          <t>K1</t>
        </is>
      </c>
      <c r="E4" s="36" t="inlineStr">
        <is>
          <t>K2</t>
        </is>
      </c>
      <c r="H4" s="36" t="inlineStr">
        <is>
          <t>K3</t>
        </is>
      </c>
      <c r="K4" s="36" t="inlineStr">
        <is>
          <t>K4</t>
        </is>
      </c>
      <c r="N4" s="36" t="inlineStr">
        <is>
          <t>K5</t>
        </is>
      </c>
      <c r="Q4" s="36" t="inlineStr">
        <is>
          <t>K6</t>
        </is>
      </c>
    </row>
    <row r="5">
      <c r="A5" s="36" t="inlineStr"/>
      <c r="B5" s="37" t="inlineStr">
        <is>
          <t>l</t>
        </is>
      </c>
      <c r="C5" s="37" t="inlineStr">
        <is>
          <t>m</t>
        </is>
      </c>
      <c r="D5" s="37" t="inlineStr">
        <is>
          <t>u</t>
        </is>
      </c>
      <c r="E5" s="37" t="inlineStr">
        <is>
          <t>l</t>
        </is>
      </c>
      <c r="F5" s="37" t="inlineStr">
        <is>
          <t>m</t>
        </is>
      </c>
      <c r="G5" s="37" t="inlineStr">
        <is>
          <t>u</t>
        </is>
      </c>
      <c r="H5" s="37" t="inlineStr">
        <is>
          <t>l</t>
        </is>
      </c>
      <c r="I5" s="37" t="inlineStr">
        <is>
          <t>m</t>
        </is>
      </c>
      <c r="J5" s="37" t="inlineStr">
        <is>
          <t>u</t>
        </is>
      </c>
      <c r="K5" s="37" t="inlineStr">
        <is>
          <t>l</t>
        </is>
      </c>
      <c r="L5" s="37" t="inlineStr">
        <is>
          <t>m</t>
        </is>
      </c>
      <c r="M5" s="37" t="inlineStr">
        <is>
          <t>u</t>
        </is>
      </c>
      <c r="N5" s="37" t="inlineStr">
        <is>
          <t>l</t>
        </is>
      </c>
      <c r="O5" s="37" t="inlineStr">
        <is>
          <t>m</t>
        </is>
      </c>
      <c r="P5" s="37" t="inlineStr">
        <is>
          <t>u</t>
        </is>
      </c>
      <c r="Q5" s="37" t="inlineStr">
        <is>
          <t>l</t>
        </is>
      </c>
      <c r="R5" s="37" t="inlineStr">
        <is>
          <t>m</t>
        </is>
      </c>
      <c r="S5" s="37" t="inlineStr">
        <is>
          <t>u</t>
        </is>
      </c>
    </row>
    <row r="6">
      <c r="A6" s="4" t="inlineStr">
        <is>
          <t>K1</t>
        </is>
      </c>
      <c r="B6" s="38" t="n">
        <v>1</v>
      </c>
      <c r="C6" s="38" t="n">
        <v>1</v>
      </c>
      <c r="D6" s="38" t="n">
        <v>1</v>
      </c>
      <c r="E6" s="39" t="n">
        <v>0.6666666666666666</v>
      </c>
      <c r="F6" s="39" t="n">
        <v>1</v>
      </c>
      <c r="G6" s="39" t="n">
        <v>2</v>
      </c>
      <c r="H6" s="39" t="n">
        <v>0.6666666666666666</v>
      </c>
      <c r="I6" s="39" t="n">
        <v>1</v>
      </c>
      <c r="J6" s="39" t="n">
        <v>2</v>
      </c>
      <c r="K6" s="39" t="n">
        <v>0.5</v>
      </c>
      <c r="L6" s="39" t="n">
        <v>0.6666666666666666</v>
      </c>
      <c r="M6" s="39" t="n">
        <v>1</v>
      </c>
      <c r="N6" s="39" t="n">
        <v>0.4</v>
      </c>
      <c r="O6" s="39" t="n">
        <v>0.5</v>
      </c>
      <c r="P6" s="39" t="n">
        <v>0.6666666666666666</v>
      </c>
      <c r="Q6" s="39" t="n">
        <v>0.3333333333333333</v>
      </c>
      <c r="R6" s="39" t="n">
        <v>0.4</v>
      </c>
      <c r="S6" s="39" t="n">
        <v>0.5</v>
      </c>
    </row>
    <row r="7">
      <c r="A7" s="4" t="inlineStr">
        <is>
          <t>K2</t>
        </is>
      </c>
      <c r="B7" s="39" t="n">
        <v>0.5</v>
      </c>
      <c r="C7" s="39" t="n">
        <v>1</v>
      </c>
      <c r="D7" s="39" t="n">
        <v>1.5</v>
      </c>
      <c r="E7" s="38" t="n">
        <v>1</v>
      </c>
      <c r="F7" s="38" t="n">
        <v>1</v>
      </c>
      <c r="G7" s="38" t="n">
        <v>1</v>
      </c>
      <c r="H7" s="39" t="n">
        <v>1</v>
      </c>
      <c r="I7" s="39" t="n">
        <v>1</v>
      </c>
      <c r="J7" s="39" t="n">
        <v>1</v>
      </c>
      <c r="K7" s="39" t="n">
        <v>0.6666666666666666</v>
      </c>
      <c r="L7" s="39" t="n">
        <v>1</v>
      </c>
      <c r="M7" s="39" t="n">
        <v>2</v>
      </c>
      <c r="N7" s="39" t="n">
        <v>0.6666666666666666</v>
      </c>
      <c r="O7" s="39" t="n">
        <v>1</v>
      </c>
      <c r="P7" s="39" t="n">
        <v>2</v>
      </c>
      <c r="Q7" s="39" t="n">
        <v>0.6666666666666666</v>
      </c>
      <c r="R7" s="39" t="n">
        <v>1</v>
      </c>
      <c r="S7" s="39" t="n">
        <v>2</v>
      </c>
    </row>
    <row r="8">
      <c r="A8" s="4" t="inlineStr">
        <is>
          <t>K3</t>
        </is>
      </c>
      <c r="B8" s="39" t="n">
        <v>0.5</v>
      </c>
      <c r="C8" s="39" t="n">
        <v>1</v>
      </c>
      <c r="D8" s="39" t="n">
        <v>1.5</v>
      </c>
      <c r="E8" s="39" t="n">
        <v>1</v>
      </c>
      <c r="F8" s="39" t="n">
        <v>1</v>
      </c>
      <c r="G8" s="39" t="n">
        <v>1</v>
      </c>
      <c r="H8" s="38" t="n">
        <v>1</v>
      </c>
      <c r="I8" s="38" t="n">
        <v>1</v>
      </c>
      <c r="J8" s="38" t="n">
        <v>1</v>
      </c>
      <c r="K8" s="39" t="n">
        <v>0.6666666666666666</v>
      </c>
      <c r="L8" s="39" t="n">
        <v>1</v>
      </c>
      <c r="M8" s="39" t="n">
        <v>2</v>
      </c>
      <c r="N8" s="39" t="n">
        <v>0.6666666666666666</v>
      </c>
      <c r="O8" s="39" t="n">
        <v>1</v>
      </c>
      <c r="P8" s="39" t="n">
        <v>2</v>
      </c>
      <c r="Q8" s="39" t="n">
        <v>0.6666666666666666</v>
      </c>
      <c r="R8" s="39" t="n">
        <v>1</v>
      </c>
      <c r="S8" s="39" t="n">
        <v>2</v>
      </c>
    </row>
    <row r="9">
      <c r="A9" s="4" t="inlineStr">
        <is>
          <t>K4</t>
        </is>
      </c>
      <c r="B9" s="39" t="n">
        <v>1</v>
      </c>
      <c r="C9" s="39" t="n">
        <v>1.5</v>
      </c>
      <c r="D9" s="39" t="n">
        <v>2</v>
      </c>
      <c r="E9" s="39" t="n">
        <v>0.5</v>
      </c>
      <c r="F9" s="39" t="n">
        <v>1</v>
      </c>
      <c r="G9" s="39" t="n">
        <v>1.5</v>
      </c>
      <c r="H9" s="39" t="n">
        <v>0.5</v>
      </c>
      <c r="I9" s="39" t="n">
        <v>1</v>
      </c>
      <c r="J9" s="39" t="n">
        <v>1.5</v>
      </c>
      <c r="K9" s="38" t="n">
        <v>1</v>
      </c>
      <c r="L9" s="38" t="n">
        <v>1</v>
      </c>
      <c r="M9" s="38" t="n">
        <v>1</v>
      </c>
      <c r="N9" s="39" t="n">
        <v>1</v>
      </c>
      <c r="O9" s="39" t="n">
        <v>1</v>
      </c>
      <c r="P9" s="39" t="n">
        <v>1</v>
      </c>
      <c r="Q9" s="39" t="n">
        <v>0.6666666666666666</v>
      </c>
      <c r="R9" s="39" t="n">
        <v>1</v>
      </c>
      <c r="S9" s="39" t="n">
        <v>2</v>
      </c>
    </row>
    <row r="10">
      <c r="A10" s="4" t="inlineStr">
        <is>
          <t>K5</t>
        </is>
      </c>
      <c r="B10" s="39" t="n">
        <v>1.5</v>
      </c>
      <c r="C10" s="39" t="n">
        <v>2</v>
      </c>
      <c r="D10" s="39" t="n">
        <v>2.5</v>
      </c>
      <c r="E10" s="39" t="n">
        <v>0.5</v>
      </c>
      <c r="F10" s="39" t="n">
        <v>1</v>
      </c>
      <c r="G10" s="39" t="n">
        <v>1.5</v>
      </c>
      <c r="H10" s="39" t="n">
        <v>0.5</v>
      </c>
      <c r="I10" s="39" t="n">
        <v>1</v>
      </c>
      <c r="J10" s="39" t="n">
        <v>1.5</v>
      </c>
      <c r="K10" s="39" t="n">
        <v>1</v>
      </c>
      <c r="L10" s="39" t="n">
        <v>1</v>
      </c>
      <c r="M10" s="39" t="n">
        <v>1</v>
      </c>
      <c r="N10" s="38" t="n">
        <v>1</v>
      </c>
      <c r="O10" s="38" t="n">
        <v>1</v>
      </c>
      <c r="P10" s="38" t="n">
        <v>1</v>
      </c>
      <c r="Q10" s="39" t="n">
        <v>1</v>
      </c>
      <c r="R10" s="39" t="n">
        <v>1</v>
      </c>
      <c r="S10" s="39" t="n">
        <v>1</v>
      </c>
    </row>
    <row r="11">
      <c r="A11" s="4" t="inlineStr">
        <is>
          <t>K6</t>
        </is>
      </c>
      <c r="B11" s="39" t="n">
        <v>2</v>
      </c>
      <c r="C11" s="39" t="n">
        <v>2.5</v>
      </c>
      <c r="D11" s="39" t="n">
        <v>3</v>
      </c>
      <c r="E11" s="39" t="n">
        <v>0.5</v>
      </c>
      <c r="F11" s="39" t="n">
        <v>1</v>
      </c>
      <c r="G11" s="39" t="n">
        <v>1.5</v>
      </c>
      <c r="H11" s="39" t="n">
        <v>0.5</v>
      </c>
      <c r="I11" s="39" t="n">
        <v>1</v>
      </c>
      <c r="J11" s="39" t="n">
        <v>1.5</v>
      </c>
      <c r="K11" s="39" t="n">
        <v>0.5</v>
      </c>
      <c r="L11" s="39" t="n">
        <v>1</v>
      </c>
      <c r="M11" s="39" t="n">
        <v>1.5</v>
      </c>
      <c r="N11" s="39" t="n">
        <v>1</v>
      </c>
      <c r="O11" s="39" t="n">
        <v>1</v>
      </c>
      <c r="P11" s="39" t="n">
        <v>1</v>
      </c>
      <c r="Q11" s="38" t="n">
        <v>1</v>
      </c>
      <c r="R11" s="38" t="n">
        <v>1</v>
      </c>
      <c r="S11" s="38" t="n">
        <v>1</v>
      </c>
    </row>
    <row r="13">
      <c r="A13" s="40" t="inlineStr">
        <is>
          <t>LANGKAH 5: FUZZY SYNTHETIC EXTENT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</row>
    <row r="14">
      <c r="A14" s="42" t="inlineStr">
        <is>
          <t>Penjumlahan Baris Matriks Fuzzy</t>
        </is>
      </c>
    </row>
    <row r="15">
      <c r="A15" s="43" t="inlineStr">
        <is>
          <t>Kriteria</t>
        </is>
      </c>
      <c r="B15" s="43" t="inlineStr">
        <is>
          <t>Σl</t>
        </is>
      </c>
      <c r="C15" s="43" t="inlineStr">
        <is>
          <t>Σm</t>
        </is>
      </c>
      <c r="D15" s="43" t="inlineStr">
        <is>
          <t>Σu</t>
        </is>
      </c>
    </row>
    <row r="16">
      <c r="A16" s="4" t="inlineStr">
        <is>
          <t>Status Keaktifan</t>
        </is>
      </c>
      <c r="B16" s="44">
        <f>B6+E6+H6+K6+N6+Q6</f>
        <v/>
      </c>
      <c r="C16" s="44">
        <f>C6+F6+I6+L6+O6+R6</f>
        <v/>
      </c>
      <c r="D16" s="44">
        <f>D6+G6+J6+M6+P6+S6</f>
        <v/>
      </c>
    </row>
    <row r="17">
      <c r="A17" s="4" t="inlineStr">
        <is>
          <t>Pencapaian SKU</t>
        </is>
      </c>
      <c r="B17" s="44">
        <f>B7+E7+H7+K7+N7+Q7</f>
        <v/>
      </c>
      <c r="C17" s="44">
        <f>C7+F7+I7+L7+O7+R7</f>
        <v/>
      </c>
      <c r="D17" s="44">
        <f>D7+G7+J7+M7+P7+S7</f>
        <v/>
      </c>
    </row>
    <row r="18">
      <c r="A18" s="4" t="inlineStr">
        <is>
          <t>Pencapaian SPG</t>
        </is>
      </c>
      <c r="B18" s="44">
        <f>B8+E8+H8+K8+N8+Q8</f>
        <v/>
      </c>
      <c r="C18" s="44">
        <f>C8+F8+I8+L8+O8+R8</f>
        <v/>
      </c>
      <c r="D18" s="44">
        <f>D8+G8+J8+M8+P8+S8</f>
        <v/>
      </c>
    </row>
    <row r="19">
      <c r="A19" s="4" t="inlineStr">
        <is>
          <t>Kesehatan Jasmani</t>
        </is>
      </c>
      <c r="B19" s="44">
        <f>B9+E9+H9+K9+N9+Q9</f>
        <v/>
      </c>
      <c r="C19" s="44">
        <f>C9+F9+I9+L9+O9+R9</f>
        <v/>
      </c>
      <c r="D19" s="44">
        <f>D9+G9+J9+M9+P9+S9</f>
        <v/>
      </c>
    </row>
    <row r="20">
      <c r="A20" s="4" t="inlineStr">
        <is>
          <t>Tes Wawancara</t>
        </is>
      </c>
      <c r="B20" s="44">
        <f>B10+E10+H10+K10+N10+Q10</f>
        <v/>
      </c>
      <c r="C20" s="44">
        <f>C10+F10+I10+L10+O10+R10</f>
        <v/>
      </c>
      <c r="D20" s="44">
        <f>D10+G10+J10+M10+P10+S10</f>
        <v/>
      </c>
    </row>
    <row r="21">
      <c r="A21" s="4" t="inlineStr">
        <is>
          <t>Tes Pilihan Ganda</t>
        </is>
      </c>
      <c r="B21" s="44">
        <f>B11+E11+H11+K11+N11+Q11</f>
        <v/>
      </c>
      <c r="C21" s="44">
        <f>C11+F11+I11+L11+O11+R11</f>
        <v/>
      </c>
      <c r="D21" s="44">
        <f>D11+G11+J11+M11+P11+S11</f>
        <v/>
      </c>
    </row>
    <row r="22">
      <c r="A22" s="5" t="inlineStr">
        <is>
          <t>Total</t>
        </is>
      </c>
      <c r="B22" s="45">
        <f>SUM(B16:B21)</f>
        <v/>
      </c>
      <c r="C22" s="45">
        <f>SUM(C16:C21)</f>
        <v/>
      </c>
      <c r="D22" s="45">
        <f>SUM(D16:D21)</f>
        <v/>
      </c>
    </row>
    <row r="24">
      <c r="A24" s="42" t="inlineStr">
        <is>
          <t>Fuzzy Synthetic Extent (Si)</t>
        </is>
      </c>
    </row>
    <row r="25">
      <c r="A25" s="43" t="inlineStr">
        <is>
          <t>Kriteria</t>
        </is>
      </c>
      <c r="B25" s="43" t="inlineStr">
        <is>
          <t>Si(l)</t>
        </is>
      </c>
      <c r="C25" s="43" t="inlineStr">
        <is>
          <t>Si(m)</t>
        </is>
      </c>
      <c r="D25" s="43" t="inlineStr">
        <is>
          <t>Si(u)</t>
        </is>
      </c>
    </row>
    <row r="26">
      <c r="A26" s="4" t="inlineStr">
        <is>
          <t>Status Keaktifan</t>
        </is>
      </c>
      <c r="B26" s="46">
        <f>B16/$D$22</f>
        <v/>
      </c>
      <c r="C26" s="46">
        <f>C16/$C$22</f>
        <v/>
      </c>
      <c r="D26" s="46">
        <f>D16/$B$22</f>
        <v/>
      </c>
    </row>
    <row r="27">
      <c r="A27" s="4" t="inlineStr">
        <is>
          <t>Pencapaian SKU</t>
        </is>
      </c>
      <c r="B27" s="46">
        <f>B17/$D$22</f>
        <v/>
      </c>
      <c r="C27" s="46">
        <f>C17/$C$22</f>
        <v/>
      </c>
      <c r="D27" s="46">
        <f>D17/$B$22</f>
        <v/>
      </c>
    </row>
    <row r="28">
      <c r="A28" s="4" t="inlineStr">
        <is>
          <t>Pencapaian SPG</t>
        </is>
      </c>
      <c r="B28" s="46">
        <f>B18/$D$22</f>
        <v/>
      </c>
      <c r="C28" s="46">
        <f>C18/$C$22</f>
        <v/>
      </c>
      <c r="D28" s="46">
        <f>D18/$B$22</f>
        <v/>
      </c>
    </row>
    <row r="29">
      <c r="A29" s="4" t="inlineStr">
        <is>
          <t>Kesehatan Jasmani</t>
        </is>
      </c>
      <c r="B29" s="46">
        <f>B19/$D$22</f>
        <v/>
      </c>
      <c r="C29" s="46">
        <f>C19/$C$22</f>
        <v/>
      </c>
      <c r="D29" s="46">
        <f>D19/$B$22</f>
        <v/>
      </c>
    </row>
    <row r="30">
      <c r="A30" s="4" t="inlineStr">
        <is>
          <t>Tes Wawancara</t>
        </is>
      </c>
      <c r="B30" s="46">
        <f>B20/$D$22</f>
        <v/>
      </c>
      <c r="C30" s="46">
        <f>C20/$C$22</f>
        <v/>
      </c>
      <c r="D30" s="46">
        <f>D20/$B$22</f>
        <v/>
      </c>
    </row>
    <row r="31">
      <c r="A31" s="4" t="inlineStr">
        <is>
          <t>Tes Pilihan Ganda</t>
        </is>
      </c>
      <c r="B31" s="46">
        <f>B21/$D$22</f>
        <v/>
      </c>
      <c r="C31" s="46">
        <f>C21/$C$22</f>
        <v/>
      </c>
      <c r="D31" s="46">
        <f>D21/$B$22</f>
        <v/>
      </c>
    </row>
    <row r="33">
      <c r="A33" s="47" t="inlineStr">
        <is>
          <t>LANGKAH 6: PERBANDINGAN PROBABILITAS, NORMALISASI &amp; BOBOT GLOBAL</t>
        </is>
      </c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</row>
    <row r="34">
      <c r="A34" s="49" t="inlineStr">
        <is>
          <t>V(Si&gt;=Sk) = 1 jika mi&gt;=mk | 0 jika lk&gt;=ui | (lk-ui)/((mi-ui)-(mk-lk))</t>
        </is>
      </c>
    </row>
    <row r="35">
      <c r="A35" s="50" t="inlineStr">
        <is>
          <t>Matriks V(Si &gt;= Sk)</t>
        </is>
      </c>
    </row>
    <row r="36">
      <c r="A36" s="51" t="inlineStr">
        <is>
          <t>V(Si&gt;=Sk)</t>
        </is>
      </c>
      <c r="B36" s="51" t="inlineStr">
        <is>
          <t>K1</t>
        </is>
      </c>
      <c r="C36" s="51" t="inlineStr">
        <is>
          <t>K2</t>
        </is>
      </c>
      <c r="D36" s="51" t="inlineStr">
        <is>
          <t>K3</t>
        </is>
      </c>
      <c r="E36" s="51" t="inlineStr">
        <is>
          <t>K4</t>
        </is>
      </c>
      <c r="F36" s="51" t="inlineStr">
        <is>
          <t>K5</t>
        </is>
      </c>
      <c r="G36" s="51" t="inlineStr">
        <is>
          <t>K6</t>
        </is>
      </c>
    </row>
    <row r="37">
      <c r="A37" s="4" t="inlineStr">
        <is>
          <t>K1</t>
        </is>
      </c>
      <c r="B37" s="4" t="inlineStr">
        <is>
          <t>-</t>
        </is>
      </c>
      <c r="C37" s="52">
        <f>IF($C$26&gt;=$C$27,1,IF($B$27&gt;=$D$26,0,($B$27-$D$26)/(($C$26-$D$26)-($C$27-$B$27))))</f>
        <v/>
      </c>
      <c r="D37" s="52">
        <f>IF($C$26&gt;=$C$28,1,IF($B$28&gt;=$D$26,0,($B$28-$D$26)/(($C$26-$D$26)-($C$28-$B$28))))</f>
        <v/>
      </c>
      <c r="E37" s="52">
        <f>IF($C$26&gt;=$C$29,1,IF($B$29&gt;=$D$26,0,($B$29-$D$26)/(($C$26-$D$26)-($C$29-$B$29))))</f>
        <v/>
      </c>
      <c r="F37" s="52">
        <f>IF($C$26&gt;=$C$30,1,IF($B$30&gt;=$D$26,0,($B$30-$D$26)/(($C$26-$D$26)-($C$30-$B$30))))</f>
        <v/>
      </c>
      <c r="G37" s="52">
        <f>IF($C$26&gt;=$C$31,1,IF($B$31&gt;=$D$26,0,($B$31-$D$26)/(($C$26-$D$26)-($C$31-$B$31))))</f>
        <v/>
      </c>
    </row>
    <row r="38">
      <c r="A38" s="4" t="inlineStr">
        <is>
          <t>K2</t>
        </is>
      </c>
      <c r="B38" s="52">
        <f>IF($C$27&gt;=$C$26,1,IF($B$26&gt;=$D$27,0,($B$26-$D$27)/(($C$27-$D$27)-($C$26-$B$26))))</f>
        <v/>
      </c>
      <c r="C38" s="4" t="inlineStr">
        <is>
          <t>-</t>
        </is>
      </c>
      <c r="D38" s="52">
        <f>IF($C$27&gt;=$C$28,1,IF($B$28&gt;=$D$27,0,($B$28-$D$27)/(($C$27-$D$27)-($C$28-$B$28))))</f>
        <v/>
      </c>
      <c r="E38" s="52">
        <f>IF($C$27&gt;=$C$29,1,IF($B$29&gt;=$D$27,0,($B$29-$D$27)/(($C$27-$D$27)-($C$29-$B$29))))</f>
        <v/>
      </c>
      <c r="F38" s="52">
        <f>IF($C$27&gt;=$C$30,1,IF($B$30&gt;=$D$27,0,($B$30-$D$27)/(($C$27-$D$27)-($C$30-$B$30))))</f>
        <v/>
      </c>
      <c r="G38" s="52">
        <f>IF($C$27&gt;=$C$31,1,IF($B$31&gt;=$D$27,0,($B$31-$D$27)/(($C$27-$D$27)-($C$31-$B$31))))</f>
        <v/>
      </c>
    </row>
    <row r="39">
      <c r="A39" s="4" t="inlineStr">
        <is>
          <t>K3</t>
        </is>
      </c>
      <c r="B39" s="52">
        <f>IF($C$28&gt;=$C$26,1,IF($B$26&gt;=$D$28,0,($B$26-$D$28)/(($C$28-$D$28)-($C$26-$B$26))))</f>
        <v/>
      </c>
      <c r="C39" s="52">
        <f>IF($C$28&gt;=$C$27,1,IF($B$27&gt;=$D$28,0,($B$27-$D$28)/(($C$28-$D$28)-($C$27-$B$27))))</f>
        <v/>
      </c>
      <c r="D39" s="4" t="inlineStr">
        <is>
          <t>-</t>
        </is>
      </c>
      <c r="E39" s="52">
        <f>IF($C$28&gt;=$C$29,1,IF($B$29&gt;=$D$28,0,($B$29-$D$28)/(($C$28-$D$28)-($C$29-$B$29))))</f>
        <v/>
      </c>
      <c r="F39" s="52">
        <f>IF($C$28&gt;=$C$30,1,IF($B$30&gt;=$D$28,0,($B$30-$D$28)/(($C$28-$D$28)-($C$30-$B$30))))</f>
        <v/>
      </c>
      <c r="G39" s="52">
        <f>IF($C$28&gt;=$C$31,1,IF($B$31&gt;=$D$28,0,($B$31-$D$28)/(($C$28-$D$28)-($C$31-$B$31))))</f>
        <v/>
      </c>
    </row>
    <row r="40">
      <c r="A40" s="4" t="inlineStr">
        <is>
          <t>K4</t>
        </is>
      </c>
      <c r="B40" s="52">
        <f>IF($C$29&gt;=$C$26,1,IF($B$26&gt;=$D$29,0,($B$26-$D$29)/(($C$29-$D$29)-($C$26-$B$26))))</f>
        <v/>
      </c>
      <c r="C40" s="52">
        <f>IF($C$29&gt;=$C$27,1,IF($B$27&gt;=$D$29,0,($B$27-$D$29)/(($C$29-$D$29)-($C$27-$B$27))))</f>
        <v/>
      </c>
      <c r="D40" s="52">
        <f>IF($C$29&gt;=$C$28,1,IF($B$28&gt;=$D$29,0,($B$28-$D$29)/(($C$29-$D$29)-($C$28-$B$28))))</f>
        <v/>
      </c>
      <c r="E40" s="4" t="inlineStr">
        <is>
          <t>-</t>
        </is>
      </c>
      <c r="F40" s="52">
        <f>IF($C$29&gt;=$C$30,1,IF($B$30&gt;=$D$29,0,($B$30-$D$29)/(($C$29-$D$29)-($C$30-$B$30))))</f>
        <v/>
      </c>
      <c r="G40" s="52">
        <f>IF($C$29&gt;=$C$31,1,IF($B$31&gt;=$D$29,0,($B$31-$D$29)/(($C$29-$D$29)-($C$31-$B$31))))</f>
        <v/>
      </c>
    </row>
    <row r="41">
      <c r="A41" s="4" t="inlineStr">
        <is>
          <t>K5</t>
        </is>
      </c>
      <c r="B41" s="52">
        <f>IF($C$30&gt;=$C$26,1,IF($B$26&gt;=$D$30,0,($B$26-$D$30)/(($C$30-$D$30)-($C$26-$B$26))))</f>
        <v/>
      </c>
      <c r="C41" s="52">
        <f>IF($C$30&gt;=$C$27,1,IF($B$27&gt;=$D$30,0,($B$27-$D$30)/(($C$30-$D$30)-($C$27-$B$27))))</f>
        <v/>
      </c>
      <c r="D41" s="52">
        <f>IF($C$30&gt;=$C$28,1,IF($B$28&gt;=$D$30,0,($B$28-$D$30)/(($C$30-$D$30)-($C$28-$B$28))))</f>
        <v/>
      </c>
      <c r="E41" s="52">
        <f>IF($C$30&gt;=$C$29,1,IF($B$29&gt;=$D$30,0,($B$29-$D$30)/(($C$30-$D$30)-($C$29-$B$29))))</f>
        <v/>
      </c>
      <c r="F41" s="4" t="inlineStr">
        <is>
          <t>-</t>
        </is>
      </c>
      <c r="G41" s="52">
        <f>IF($C$30&gt;=$C$31,1,IF($B$31&gt;=$D$30,0,($B$31-$D$30)/(($C$30-$D$30)-($C$31-$B$31))))</f>
        <v/>
      </c>
    </row>
    <row r="42">
      <c r="A42" s="4" t="inlineStr">
        <is>
          <t>K6</t>
        </is>
      </c>
      <c r="B42" s="52">
        <f>IF($C$31&gt;=$C$26,1,IF($B$26&gt;=$D$31,0,($B$26-$D$31)/(($C$31-$D$31)-($C$26-$B$26))))</f>
        <v/>
      </c>
      <c r="C42" s="52">
        <f>IF($C$31&gt;=$C$27,1,IF($B$27&gt;=$D$31,0,($B$27-$D$31)/(($C$31-$D$31)-($C$27-$B$27))))</f>
        <v/>
      </c>
      <c r="D42" s="52">
        <f>IF($C$31&gt;=$C$28,1,IF($B$28&gt;=$D$31,0,($B$28-$D$31)/(($C$31-$D$31)-($C$28-$B$28))))</f>
        <v/>
      </c>
      <c r="E42" s="52">
        <f>IF($C$31&gt;=$C$29,1,IF($B$29&gt;=$D$31,0,($B$29-$D$31)/(($C$31-$D$31)-($C$29-$B$29))))</f>
        <v/>
      </c>
      <c r="F42" s="52">
        <f>IF($C$31&gt;=$C$30,1,IF($B$30&gt;=$D$31,0,($B$30-$D$31)/(($C$31-$D$31)-($C$30-$B$30))))</f>
        <v/>
      </c>
      <c r="G42" s="4" t="inlineStr">
        <is>
          <t>-</t>
        </is>
      </c>
    </row>
    <row r="44">
      <c r="A44" s="50" t="inlineStr">
        <is>
          <t>Nilai Ordinat d'(Ai) = min V(Si &gt;= Sk)</t>
        </is>
      </c>
    </row>
    <row r="45">
      <c r="A45" s="51" t="inlineStr">
        <is>
          <t>Kriteria</t>
        </is>
      </c>
      <c r="B45" s="51" t="inlineStr">
        <is>
          <t>d'(Ai)</t>
        </is>
      </c>
    </row>
    <row r="46">
      <c r="A46" s="4" t="inlineStr">
        <is>
          <t>Status Keaktifan</t>
        </is>
      </c>
      <c r="B46" s="52">
        <f>MIN(C37,D37,E37,F37,G37)</f>
        <v/>
      </c>
    </row>
    <row r="47">
      <c r="A47" s="4" t="inlineStr">
        <is>
          <t>Pencapaian SKU</t>
        </is>
      </c>
      <c r="B47" s="52">
        <f>MIN(B38,D38,E38,F38,G38)</f>
        <v/>
      </c>
    </row>
    <row r="48">
      <c r="A48" s="4" t="inlineStr">
        <is>
          <t>Pencapaian SPG</t>
        </is>
      </c>
      <c r="B48" s="52">
        <f>MIN(B39,C39,E39,F39,G39)</f>
        <v/>
      </c>
    </row>
    <row r="49">
      <c r="A49" s="4" t="inlineStr">
        <is>
          <t>Kesehatan Jasmani</t>
        </is>
      </c>
      <c r="B49" s="52">
        <f>MIN(B40,C40,D40,F40,G40)</f>
        <v/>
      </c>
    </row>
    <row r="50">
      <c r="A50" s="4" t="inlineStr">
        <is>
          <t>Tes Wawancara</t>
        </is>
      </c>
      <c r="B50" s="52">
        <f>MIN(B41,C41,D41,E41,G41)</f>
        <v/>
      </c>
    </row>
    <row r="51">
      <c r="A51" s="4" t="inlineStr">
        <is>
          <t>Tes Pilihan Ganda</t>
        </is>
      </c>
      <c r="B51" s="52">
        <f>MIN(B42,C42,D42,E42,F42)</f>
        <v/>
      </c>
    </row>
    <row r="53">
      <c r="A53" s="50" t="inlineStr">
        <is>
          <t>Bobot Global Ternormalisasi (Wi)</t>
        </is>
      </c>
    </row>
    <row r="54">
      <c r="A54" s="49" t="inlineStr">
        <is>
          <t>wi = d'(Ai) / Σ d'(Ai)</t>
        </is>
      </c>
    </row>
    <row r="55">
      <c r="A55" s="51" t="inlineStr">
        <is>
          <t>Kriteria</t>
        </is>
      </c>
      <c r="B55" s="51" t="inlineStr">
        <is>
          <t>Bobot Global (Wi)</t>
        </is>
      </c>
    </row>
    <row r="56">
      <c r="A56" s="4" t="inlineStr">
        <is>
          <t>Status Keaktifan</t>
        </is>
      </c>
      <c r="B56" s="52">
        <f>B46/SUM(B46:B51)</f>
        <v/>
      </c>
    </row>
    <row r="57">
      <c r="A57" s="4" t="inlineStr">
        <is>
          <t>Pencapaian SKU</t>
        </is>
      </c>
      <c r="B57" s="52">
        <f>B47/SUM(B46:B51)</f>
        <v/>
      </c>
    </row>
    <row r="58">
      <c r="A58" s="4" t="inlineStr">
        <is>
          <t>Pencapaian SPG</t>
        </is>
      </c>
      <c r="B58" s="52">
        <f>B48/SUM(B46:B51)</f>
        <v/>
      </c>
    </row>
    <row r="59">
      <c r="A59" s="4" t="inlineStr">
        <is>
          <t>Kesehatan Jasmani</t>
        </is>
      </c>
      <c r="B59" s="52">
        <f>B49/SUM(B46:B51)</f>
        <v/>
      </c>
    </row>
    <row r="60">
      <c r="A60" s="4" t="inlineStr">
        <is>
          <t>Tes Wawancara</t>
        </is>
      </c>
      <c r="B60" s="52">
        <f>B50/SUM(B46:B51)</f>
        <v/>
      </c>
    </row>
    <row r="61">
      <c r="A61" s="4" t="inlineStr">
        <is>
          <t>Tes Pilihan Ganda</t>
        </is>
      </c>
      <c r="B61" s="52">
        <f>B51/SUM(B46:B51)</f>
        <v/>
      </c>
    </row>
    <row r="62">
      <c r="A62" s="5" t="inlineStr">
        <is>
          <t>Total</t>
        </is>
      </c>
      <c r="B62" s="45">
        <f>SUM(B56:B61)</f>
        <v/>
      </c>
      <c r="C62" t="inlineStr"/>
    </row>
  </sheetData>
  <mergeCells count="11">
    <mergeCell ref="A1:T1"/>
    <mergeCell ref="A33:S33"/>
    <mergeCell ref="K4:M4"/>
    <mergeCell ref="A13:S13"/>
    <mergeCell ref="A34:G34"/>
    <mergeCell ref="B4:D4"/>
    <mergeCell ref="H4:J4"/>
    <mergeCell ref="Q4:S4"/>
    <mergeCell ref="A3:S3"/>
    <mergeCell ref="E4:G4"/>
    <mergeCell ref="N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SKOR AKHIR (DEFUZZIFIKASI)</t>
        </is>
      </c>
    </row>
    <row r="2">
      <c r="A2" s="53" t="inlineStr">
        <is>
          <t>Skor = (ΣL×w + ΣM×w + ΣU×w) / 3</t>
        </is>
      </c>
    </row>
    <row r="3">
      <c r="A3" s="54" t="inlineStr">
        <is>
          <t>Bobot = bobot_db / total_bobot. Fuzzy: nilai&lt;=5 → Likert TFN, nilai&gt;5 → (nilai-5, nilai, nilai+5)</t>
        </is>
      </c>
    </row>
    <row r="5">
      <c r="A5" s="55" t="inlineStr">
        <is>
          <t>BOBOT (bobot/total)</t>
        </is>
      </c>
    </row>
    <row r="6">
      <c r="A6" s="8" t="inlineStr">
        <is>
          <t>K1</t>
        </is>
      </c>
      <c r="B6" s="8" t="inlineStr">
        <is>
          <t>K2</t>
        </is>
      </c>
      <c r="C6" s="11" t="inlineStr">
        <is>
          <t>K3</t>
        </is>
      </c>
      <c r="D6" s="11" t="inlineStr">
        <is>
          <t>K4</t>
        </is>
      </c>
      <c r="E6" s="14" t="inlineStr">
        <is>
          <t>K5</t>
        </is>
      </c>
      <c r="F6" s="14" t="inlineStr">
        <is>
          <t>K6</t>
        </is>
      </c>
    </row>
    <row r="7">
      <c r="A7" s="52">
        <f>'Input'!$C$5/SUM('Input'!$C$5:'Input'!$C$10)</f>
        <v/>
      </c>
      <c r="B7" s="52">
        <f>'Input'!$C$6/SUM('Input'!$C$5:'Input'!$C$10)</f>
        <v/>
      </c>
      <c r="C7" s="52">
        <f>'Input'!$C$7/SUM('Input'!$C$5:'Input'!$C$10)</f>
        <v/>
      </c>
      <c r="D7" s="52">
        <f>'Input'!$C$8/SUM('Input'!$C$5:'Input'!$C$10)</f>
        <v/>
      </c>
      <c r="E7" s="52">
        <f>'Input'!$C$9/SUM('Input'!$C$5:'Input'!$C$10)</f>
        <v/>
      </c>
      <c r="F7" s="52">
        <f>'Input'!$C$10/SUM('Input'!$C$5:'Input'!$C$10)</f>
        <v/>
      </c>
    </row>
    <row r="9">
      <c r="A9" s="2" t="inlineStr">
        <is>
          <t>PERHITUNGAN SKOR</t>
        </is>
      </c>
    </row>
    <row r="10">
      <c r="A10" s="3" t="inlineStr">
        <is>
          <t>No</t>
        </is>
      </c>
      <c r="B10" s="3" t="inlineStr">
        <is>
          <t>Nama</t>
        </is>
      </c>
      <c r="C10" s="3" t="inlineStr">
        <is>
          <t>ΣL×w</t>
        </is>
      </c>
      <c r="D10" s="3" t="inlineStr">
        <is>
          <t>ΣM×w</t>
        </is>
      </c>
      <c r="E10" s="3" t="inlineStr">
        <is>
          <t>ΣU×w</t>
        </is>
      </c>
      <c r="F10" s="3" t="inlineStr">
        <is>
          <t>Skor</t>
        </is>
      </c>
      <c r="G10" s="3" t="inlineStr">
        <is>
          <t>Rank</t>
        </is>
      </c>
    </row>
    <row r="11">
      <c r="A11" s="5" t="n">
        <v>1</v>
      </c>
      <c r="B11" s="4">
        <f>'Input'!B14</f>
        <v/>
      </c>
      <c r="C11" s="56">
        <f>IF('Rekap Nilai'!C4&lt;=5,IF('Rekap Nilai'!C4&lt;=1,1,IF('Rekap Nilai'!C4&lt;=2,1,IF('Rekap Nilai'!C4&lt;=3,2,IF('Rekap Nilai'!C4&lt;=4,3,4)))),MAX(0,'Rekap Nilai'!C4-5))*$A$7+IF('Rekap Nilai'!D4&lt;=5,IF('Rekap Nilai'!D4&lt;=1,1,IF('Rekap Nilai'!D4&lt;=2,1,IF('Rekap Nilai'!D4&lt;=3,2,IF('Rekap Nilai'!D4&lt;=4,3,4)))),MAX(0,'Rekap Nilai'!D4-5))*$B$7+IF('Rekap Nilai'!E4&lt;=5,IF('Rekap Nilai'!E4&lt;=1,1,IF('Rekap Nilai'!E4&lt;=2,1,IF('Rekap Nilai'!E4&lt;=3,2,IF('Rekap Nilai'!E4&lt;=4,3,4)))),MAX(0,'Rekap Nilai'!E4-5))*$C$7+IF('Rekap Nilai'!F4&lt;=5,IF('Rekap Nilai'!F4&lt;=1,1,IF('Rekap Nilai'!F4&lt;=2,1,IF('Rekap Nilai'!F4&lt;=3,2,IF('Rekap Nilai'!F4&lt;=4,3,4)))),MAX(0,'Rekap Nilai'!F4-5))*$D$7+IF('Rekap Nilai'!G4&lt;=5,IF('Rekap Nilai'!G4&lt;=1,1,IF('Rekap Nilai'!G4&lt;=2,1,IF('Rekap Nilai'!G4&lt;=3,2,IF('Rekap Nilai'!G4&lt;=4,3,4)))),MAX(0,'Rekap Nilai'!G4-5))*$E$7+IF('Rekap Nilai'!H4&lt;=5,IF('Rekap Nilai'!H4&lt;=1,1,IF('Rekap Nilai'!H4&lt;=2,1,IF('Rekap Nilai'!H4&lt;=3,2,IF('Rekap Nilai'!H4&lt;=4,3,4)))),MAX(0,'Rekap Nilai'!H4-5))*$F$7</f>
        <v/>
      </c>
      <c r="D11" s="56">
        <f>IF('Rekap Nilai'!C4&lt;=5,'Rekap Nilai'!C4,'Rekap Nilai'!C4)*$A$7+IF('Rekap Nilai'!D4&lt;=5,'Rekap Nilai'!D4,'Rekap Nilai'!D4)*$B$7+IF('Rekap Nilai'!E4&lt;=5,'Rekap Nilai'!E4,'Rekap Nilai'!E4)*$C$7+IF('Rekap Nilai'!F4&lt;=5,'Rekap Nilai'!F4,'Rekap Nilai'!F4)*$D$7+IF('Rekap Nilai'!G4&lt;=5,'Rekap Nilai'!G4,'Rekap Nilai'!G4)*$E$7+IF('Rekap Nilai'!H4&lt;=5,'Rekap Nilai'!H4,'Rekap Nilai'!H4)*$F$7</f>
        <v/>
      </c>
      <c r="E11" s="56">
        <f>IF('Rekap Nilai'!C4&lt;=5,IF('Rekap Nilai'!C4&lt;=1,2,IF('Rekap Nilai'!C4&lt;=2,3,IF('Rekap Nilai'!C4&lt;=3,4,IF('Rekap Nilai'!C4&lt;=4,5,5)))),MIN(100,'Rekap Nilai'!C4+5))*$A$7+IF('Rekap Nilai'!D4&lt;=5,IF('Rekap Nilai'!D4&lt;=1,2,IF('Rekap Nilai'!D4&lt;=2,3,IF('Rekap Nilai'!D4&lt;=3,4,IF('Rekap Nilai'!D4&lt;=4,5,5)))),MIN(100,'Rekap Nilai'!D4+5))*$B$7+IF('Rekap Nilai'!E4&lt;=5,IF('Rekap Nilai'!E4&lt;=1,2,IF('Rekap Nilai'!E4&lt;=2,3,IF('Rekap Nilai'!E4&lt;=3,4,IF('Rekap Nilai'!E4&lt;=4,5,5)))),MIN(100,'Rekap Nilai'!E4+5))*$C$7+IF('Rekap Nilai'!F4&lt;=5,IF('Rekap Nilai'!F4&lt;=1,2,IF('Rekap Nilai'!F4&lt;=2,3,IF('Rekap Nilai'!F4&lt;=3,4,IF('Rekap Nilai'!F4&lt;=4,5,5)))),MIN(100,'Rekap Nilai'!F4+5))*$D$7+IF('Rekap Nilai'!G4&lt;=5,IF('Rekap Nilai'!G4&lt;=1,2,IF('Rekap Nilai'!G4&lt;=2,3,IF('Rekap Nilai'!G4&lt;=3,4,IF('Rekap Nilai'!G4&lt;=4,5,5)))),MIN(100,'Rekap Nilai'!G4+5))*$E$7+IF('Rekap Nilai'!H4&lt;=5,IF('Rekap Nilai'!H4&lt;=1,2,IF('Rekap Nilai'!H4&lt;=2,3,IF('Rekap Nilai'!H4&lt;=3,4,IF('Rekap Nilai'!H4&lt;=4,5,5)))),MIN(100,'Rekap Nilai'!H4+5))*$F$7</f>
        <v/>
      </c>
      <c r="F11" s="57">
        <f>(C11+D11+E11)/3</f>
        <v/>
      </c>
      <c r="G11" s="58">
        <f>IF(B11="","",RANK(F11,$F$11:$F$20,0))</f>
        <v/>
      </c>
    </row>
    <row r="12">
      <c r="A12" s="5" t="n">
        <v>2</v>
      </c>
      <c r="B12" s="4">
        <f>'Input'!B15</f>
        <v/>
      </c>
      <c r="C12" s="56">
        <f>IF('Rekap Nilai'!C5&lt;=5,IF('Rekap Nilai'!C5&lt;=1,1,IF('Rekap Nilai'!C5&lt;=2,1,IF('Rekap Nilai'!C5&lt;=3,2,IF('Rekap Nilai'!C5&lt;=4,3,4)))),MAX(0,'Rekap Nilai'!C5-5))*$A$7+IF('Rekap Nilai'!D5&lt;=5,IF('Rekap Nilai'!D5&lt;=1,1,IF('Rekap Nilai'!D5&lt;=2,1,IF('Rekap Nilai'!D5&lt;=3,2,IF('Rekap Nilai'!D5&lt;=4,3,4)))),MAX(0,'Rekap Nilai'!D5-5))*$B$7+IF('Rekap Nilai'!E5&lt;=5,IF('Rekap Nilai'!E5&lt;=1,1,IF('Rekap Nilai'!E5&lt;=2,1,IF('Rekap Nilai'!E5&lt;=3,2,IF('Rekap Nilai'!E5&lt;=4,3,4)))),MAX(0,'Rekap Nilai'!E5-5))*$C$7+IF('Rekap Nilai'!F5&lt;=5,IF('Rekap Nilai'!F5&lt;=1,1,IF('Rekap Nilai'!F5&lt;=2,1,IF('Rekap Nilai'!F5&lt;=3,2,IF('Rekap Nilai'!F5&lt;=4,3,4)))),MAX(0,'Rekap Nilai'!F5-5))*$D$7+IF('Rekap Nilai'!G5&lt;=5,IF('Rekap Nilai'!G5&lt;=1,1,IF('Rekap Nilai'!G5&lt;=2,1,IF('Rekap Nilai'!G5&lt;=3,2,IF('Rekap Nilai'!G5&lt;=4,3,4)))),MAX(0,'Rekap Nilai'!G5-5))*$E$7+IF('Rekap Nilai'!H5&lt;=5,IF('Rekap Nilai'!H5&lt;=1,1,IF('Rekap Nilai'!H5&lt;=2,1,IF('Rekap Nilai'!H5&lt;=3,2,IF('Rekap Nilai'!H5&lt;=4,3,4)))),MAX(0,'Rekap Nilai'!H5-5))*$F$7</f>
        <v/>
      </c>
      <c r="D12" s="56">
        <f>IF('Rekap Nilai'!C5&lt;=5,'Rekap Nilai'!C5,'Rekap Nilai'!C5)*$A$7+IF('Rekap Nilai'!D5&lt;=5,'Rekap Nilai'!D5,'Rekap Nilai'!D5)*$B$7+IF('Rekap Nilai'!E5&lt;=5,'Rekap Nilai'!E5,'Rekap Nilai'!E5)*$C$7+IF('Rekap Nilai'!F5&lt;=5,'Rekap Nilai'!F5,'Rekap Nilai'!F5)*$D$7+IF('Rekap Nilai'!G5&lt;=5,'Rekap Nilai'!G5,'Rekap Nilai'!G5)*$E$7+IF('Rekap Nilai'!H5&lt;=5,'Rekap Nilai'!H5,'Rekap Nilai'!H5)*$F$7</f>
        <v/>
      </c>
      <c r="E12" s="56">
        <f>IF('Rekap Nilai'!C5&lt;=5,IF('Rekap Nilai'!C5&lt;=1,2,IF('Rekap Nilai'!C5&lt;=2,3,IF('Rekap Nilai'!C5&lt;=3,4,IF('Rekap Nilai'!C5&lt;=4,5,5)))),MIN(100,'Rekap Nilai'!C5+5))*$A$7+IF('Rekap Nilai'!D5&lt;=5,IF('Rekap Nilai'!D5&lt;=1,2,IF('Rekap Nilai'!D5&lt;=2,3,IF('Rekap Nilai'!D5&lt;=3,4,IF('Rekap Nilai'!D5&lt;=4,5,5)))),MIN(100,'Rekap Nilai'!D5+5))*$B$7+IF('Rekap Nilai'!E5&lt;=5,IF('Rekap Nilai'!E5&lt;=1,2,IF('Rekap Nilai'!E5&lt;=2,3,IF('Rekap Nilai'!E5&lt;=3,4,IF('Rekap Nilai'!E5&lt;=4,5,5)))),MIN(100,'Rekap Nilai'!E5+5))*$C$7+IF('Rekap Nilai'!F5&lt;=5,IF('Rekap Nilai'!F5&lt;=1,2,IF('Rekap Nilai'!F5&lt;=2,3,IF('Rekap Nilai'!F5&lt;=3,4,IF('Rekap Nilai'!F5&lt;=4,5,5)))),MIN(100,'Rekap Nilai'!F5+5))*$D$7+IF('Rekap Nilai'!G5&lt;=5,IF('Rekap Nilai'!G5&lt;=1,2,IF('Rekap Nilai'!G5&lt;=2,3,IF('Rekap Nilai'!G5&lt;=3,4,IF('Rekap Nilai'!G5&lt;=4,5,5)))),MIN(100,'Rekap Nilai'!G5+5))*$E$7+IF('Rekap Nilai'!H5&lt;=5,IF('Rekap Nilai'!H5&lt;=1,2,IF('Rekap Nilai'!H5&lt;=2,3,IF('Rekap Nilai'!H5&lt;=3,4,IF('Rekap Nilai'!H5&lt;=4,5,5)))),MIN(100,'Rekap Nilai'!H5+5))*$F$7</f>
        <v/>
      </c>
      <c r="F12" s="57">
        <f>(C12+D12+E12)/3</f>
        <v/>
      </c>
      <c r="G12" s="58">
        <f>IF(B12="","",RANK(F12,$F$11:$F$20,0))</f>
        <v/>
      </c>
    </row>
    <row r="13">
      <c r="A13" s="5" t="n">
        <v>3</v>
      </c>
      <c r="B13" s="4">
        <f>'Input'!B16</f>
        <v/>
      </c>
      <c r="C13" s="56">
        <f>IF('Rekap Nilai'!C6&lt;=5,IF('Rekap Nilai'!C6&lt;=1,1,IF('Rekap Nilai'!C6&lt;=2,1,IF('Rekap Nilai'!C6&lt;=3,2,IF('Rekap Nilai'!C6&lt;=4,3,4)))),MAX(0,'Rekap Nilai'!C6-5))*$A$7+IF('Rekap Nilai'!D6&lt;=5,IF('Rekap Nilai'!D6&lt;=1,1,IF('Rekap Nilai'!D6&lt;=2,1,IF('Rekap Nilai'!D6&lt;=3,2,IF('Rekap Nilai'!D6&lt;=4,3,4)))),MAX(0,'Rekap Nilai'!D6-5))*$B$7+IF('Rekap Nilai'!E6&lt;=5,IF('Rekap Nilai'!E6&lt;=1,1,IF('Rekap Nilai'!E6&lt;=2,1,IF('Rekap Nilai'!E6&lt;=3,2,IF('Rekap Nilai'!E6&lt;=4,3,4)))),MAX(0,'Rekap Nilai'!E6-5))*$C$7+IF('Rekap Nilai'!F6&lt;=5,IF('Rekap Nilai'!F6&lt;=1,1,IF('Rekap Nilai'!F6&lt;=2,1,IF('Rekap Nilai'!F6&lt;=3,2,IF('Rekap Nilai'!F6&lt;=4,3,4)))),MAX(0,'Rekap Nilai'!F6-5))*$D$7+IF('Rekap Nilai'!G6&lt;=5,IF('Rekap Nilai'!G6&lt;=1,1,IF('Rekap Nilai'!G6&lt;=2,1,IF('Rekap Nilai'!G6&lt;=3,2,IF('Rekap Nilai'!G6&lt;=4,3,4)))),MAX(0,'Rekap Nilai'!G6-5))*$E$7+IF('Rekap Nilai'!H6&lt;=5,IF('Rekap Nilai'!H6&lt;=1,1,IF('Rekap Nilai'!H6&lt;=2,1,IF('Rekap Nilai'!H6&lt;=3,2,IF('Rekap Nilai'!H6&lt;=4,3,4)))),MAX(0,'Rekap Nilai'!H6-5))*$F$7</f>
        <v/>
      </c>
      <c r="D13" s="56">
        <f>IF('Rekap Nilai'!C6&lt;=5,'Rekap Nilai'!C6,'Rekap Nilai'!C6)*$A$7+IF('Rekap Nilai'!D6&lt;=5,'Rekap Nilai'!D6,'Rekap Nilai'!D6)*$B$7+IF('Rekap Nilai'!E6&lt;=5,'Rekap Nilai'!E6,'Rekap Nilai'!E6)*$C$7+IF('Rekap Nilai'!F6&lt;=5,'Rekap Nilai'!F6,'Rekap Nilai'!F6)*$D$7+IF('Rekap Nilai'!G6&lt;=5,'Rekap Nilai'!G6,'Rekap Nilai'!G6)*$E$7+IF('Rekap Nilai'!H6&lt;=5,'Rekap Nilai'!H6,'Rekap Nilai'!H6)*$F$7</f>
        <v/>
      </c>
      <c r="E13" s="56">
        <f>IF('Rekap Nilai'!C6&lt;=5,IF('Rekap Nilai'!C6&lt;=1,2,IF('Rekap Nilai'!C6&lt;=2,3,IF('Rekap Nilai'!C6&lt;=3,4,IF('Rekap Nilai'!C6&lt;=4,5,5)))),MIN(100,'Rekap Nilai'!C6+5))*$A$7+IF('Rekap Nilai'!D6&lt;=5,IF('Rekap Nilai'!D6&lt;=1,2,IF('Rekap Nilai'!D6&lt;=2,3,IF('Rekap Nilai'!D6&lt;=3,4,IF('Rekap Nilai'!D6&lt;=4,5,5)))),MIN(100,'Rekap Nilai'!D6+5))*$B$7+IF('Rekap Nilai'!E6&lt;=5,IF('Rekap Nilai'!E6&lt;=1,2,IF('Rekap Nilai'!E6&lt;=2,3,IF('Rekap Nilai'!E6&lt;=3,4,IF('Rekap Nilai'!E6&lt;=4,5,5)))),MIN(100,'Rekap Nilai'!E6+5))*$C$7+IF('Rekap Nilai'!F6&lt;=5,IF('Rekap Nilai'!F6&lt;=1,2,IF('Rekap Nilai'!F6&lt;=2,3,IF('Rekap Nilai'!F6&lt;=3,4,IF('Rekap Nilai'!F6&lt;=4,5,5)))),MIN(100,'Rekap Nilai'!F6+5))*$D$7+IF('Rekap Nilai'!G6&lt;=5,IF('Rekap Nilai'!G6&lt;=1,2,IF('Rekap Nilai'!G6&lt;=2,3,IF('Rekap Nilai'!G6&lt;=3,4,IF('Rekap Nilai'!G6&lt;=4,5,5)))),MIN(100,'Rekap Nilai'!G6+5))*$E$7+IF('Rekap Nilai'!H6&lt;=5,IF('Rekap Nilai'!H6&lt;=1,2,IF('Rekap Nilai'!H6&lt;=2,3,IF('Rekap Nilai'!H6&lt;=3,4,IF('Rekap Nilai'!H6&lt;=4,5,5)))),MIN(100,'Rekap Nilai'!H6+5))*$F$7</f>
        <v/>
      </c>
      <c r="F13" s="57">
        <f>(C13+D13+E13)/3</f>
        <v/>
      </c>
      <c r="G13" s="58">
        <f>IF(B13="","",RANK(F13,$F$11:$F$20,0))</f>
        <v/>
      </c>
    </row>
    <row r="14">
      <c r="A14" s="5" t="n">
        <v>4</v>
      </c>
      <c r="B14" s="4">
        <f>'Input'!B17</f>
        <v/>
      </c>
      <c r="C14" s="56">
        <f>IF('Rekap Nilai'!C7&lt;=5,IF('Rekap Nilai'!C7&lt;=1,1,IF('Rekap Nilai'!C7&lt;=2,1,IF('Rekap Nilai'!C7&lt;=3,2,IF('Rekap Nilai'!C7&lt;=4,3,4)))),MAX(0,'Rekap Nilai'!C7-5))*$A$7+IF('Rekap Nilai'!D7&lt;=5,IF('Rekap Nilai'!D7&lt;=1,1,IF('Rekap Nilai'!D7&lt;=2,1,IF('Rekap Nilai'!D7&lt;=3,2,IF('Rekap Nilai'!D7&lt;=4,3,4)))),MAX(0,'Rekap Nilai'!D7-5))*$B$7+IF('Rekap Nilai'!E7&lt;=5,IF('Rekap Nilai'!E7&lt;=1,1,IF('Rekap Nilai'!E7&lt;=2,1,IF('Rekap Nilai'!E7&lt;=3,2,IF('Rekap Nilai'!E7&lt;=4,3,4)))),MAX(0,'Rekap Nilai'!E7-5))*$C$7+IF('Rekap Nilai'!F7&lt;=5,IF('Rekap Nilai'!F7&lt;=1,1,IF('Rekap Nilai'!F7&lt;=2,1,IF('Rekap Nilai'!F7&lt;=3,2,IF('Rekap Nilai'!F7&lt;=4,3,4)))),MAX(0,'Rekap Nilai'!F7-5))*$D$7+IF('Rekap Nilai'!G7&lt;=5,IF('Rekap Nilai'!G7&lt;=1,1,IF('Rekap Nilai'!G7&lt;=2,1,IF('Rekap Nilai'!G7&lt;=3,2,IF('Rekap Nilai'!G7&lt;=4,3,4)))),MAX(0,'Rekap Nilai'!G7-5))*$E$7+IF('Rekap Nilai'!H7&lt;=5,IF('Rekap Nilai'!H7&lt;=1,1,IF('Rekap Nilai'!H7&lt;=2,1,IF('Rekap Nilai'!H7&lt;=3,2,IF('Rekap Nilai'!H7&lt;=4,3,4)))),MAX(0,'Rekap Nilai'!H7-5))*$F$7</f>
        <v/>
      </c>
      <c r="D14" s="56">
        <f>IF('Rekap Nilai'!C7&lt;=5,'Rekap Nilai'!C7,'Rekap Nilai'!C7)*$A$7+IF('Rekap Nilai'!D7&lt;=5,'Rekap Nilai'!D7,'Rekap Nilai'!D7)*$B$7+IF('Rekap Nilai'!E7&lt;=5,'Rekap Nilai'!E7,'Rekap Nilai'!E7)*$C$7+IF('Rekap Nilai'!F7&lt;=5,'Rekap Nilai'!F7,'Rekap Nilai'!F7)*$D$7+IF('Rekap Nilai'!G7&lt;=5,'Rekap Nilai'!G7,'Rekap Nilai'!G7)*$E$7+IF('Rekap Nilai'!H7&lt;=5,'Rekap Nilai'!H7,'Rekap Nilai'!H7)*$F$7</f>
        <v/>
      </c>
      <c r="E14" s="56">
        <f>IF('Rekap Nilai'!C7&lt;=5,IF('Rekap Nilai'!C7&lt;=1,2,IF('Rekap Nilai'!C7&lt;=2,3,IF('Rekap Nilai'!C7&lt;=3,4,IF('Rekap Nilai'!C7&lt;=4,5,5)))),MIN(100,'Rekap Nilai'!C7+5))*$A$7+IF('Rekap Nilai'!D7&lt;=5,IF('Rekap Nilai'!D7&lt;=1,2,IF('Rekap Nilai'!D7&lt;=2,3,IF('Rekap Nilai'!D7&lt;=3,4,IF('Rekap Nilai'!D7&lt;=4,5,5)))),MIN(100,'Rekap Nilai'!D7+5))*$B$7+IF('Rekap Nilai'!E7&lt;=5,IF('Rekap Nilai'!E7&lt;=1,2,IF('Rekap Nilai'!E7&lt;=2,3,IF('Rekap Nilai'!E7&lt;=3,4,IF('Rekap Nilai'!E7&lt;=4,5,5)))),MIN(100,'Rekap Nilai'!E7+5))*$C$7+IF('Rekap Nilai'!F7&lt;=5,IF('Rekap Nilai'!F7&lt;=1,2,IF('Rekap Nilai'!F7&lt;=2,3,IF('Rekap Nilai'!F7&lt;=3,4,IF('Rekap Nilai'!F7&lt;=4,5,5)))),MIN(100,'Rekap Nilai'!F7+5))*$D$7+IF('Rekap Nilai'!G7&lt;=5,IF('Rekap Nilai'!G7&lt;=1,2,IF('Rekap Nilai'!G7&lt;=2,3,IF('Rekap Nilai'!G7&lt;=3,4,IF('Rekap Nilai'!G7&lt;=4,5,5)))),MIN(100,'Rekap Nilai'!G7+5))*$E$7+IF('Rekap Nilai'!H7&lt;=5,IF('Rekap Nilai'!H7&lt;=1,2,IF('Rekap Nilai'!H7&lt;=2,3,IF('Rekap Nilai'!H7&lt;=3,4,IF('Rekap Nilai'!H7&lt;=4,5,5)))),MIN(100,'Rekap Nilai'!H7+5))*$F$7</f>
        <v/>
      </c>
      <c r="F14" s="57">
        <f>(C14+D14+E14)/3</f>
        <v/>
      </c>
      <c r="G14" s="58">
        <f>IF(B14="","",RANK(F14,$F$11:$F$20,0))</f>
        <v/>
      </c>
    </row>
    <row r="15">
      <c r="A15" s="5" t="n">
        <v>5</v>
      </c>
      <c r="B15" s="4">
        <f>'Input'!B18</f>
        <v/>
      </c>
      <c r="C15" s="56">
        <f>IF('Rekap Nilai'!C8&lt;=5,IF('Rekap Nilai'!C8&lt;=1,1,IF('Rekap Nilai'!C8&lt;=2,1,IF('Rekap Nilai'!C8&lt;=3,2,IF('Rekap Nilai'!C8&lt;=4,3,4)))),MAX(0,'Rekap Nilai'!C8-5))*$A$7+IF('Rekap Nilai'!D8&lt;=5,IF('Rekap Nilai'!D8&lt;=1,1,IF('Rekap Nilai'!D8&lt;=2,1,IF('Rekap Nilai'!D8&lt;=3,2,IF('Rekap Nilai'!D8&lt;=4,3,4)))),MAX(0,'Rekap Nilai'!D8-5))*$B$7+IF('Rekap Nilai'!E8&lt;=5,IF('Rekap Nilai'!E8&lt;=1,1,IF('Rekap Nilai'!E8&lt;=2,1,IF('Rekap Nilai'!E8&lt;=3,2,IF('Rekap Nilai'!E8&lt;=4,3,4)))),MAX(0,'Rekap Nilai'!E8-5))*$C$7+IF('Rekap Nilai'!F8&lt;=5,IF('Rekap Nilai'!F8&lt;=1,1,IF('Rekap Nilai'!F8&lt;=2,1,IF('Rekap Nilai'!F8&lt;=3,2,IF('Rekap Nilai'!F8&lt;=4,3,4)))),MAX(0,'Rekap Nilai'!F8-5))*$D$7+IF('Rekap Nilai'!G8&lt;=5,IF('Rekap Nilai'!G8&lt;=1,1,IF('Rekap Nilai'!G8&lt;=2,1,IF('Rekap Nilai'!G8&lt;=3,2,IF('Rekap Nilai'!G8&lt;=4,3,4)))),MAX(0,'Rekap Nilai'!G8-5))*$E$7+IF('Rekap Nilai'!H8&lt;=5,IF('Rekap Nilai'!H8&lt;=1,1,IF('Rekap Nilai'!H8&lt;=2,1,IF('Rekap Nilai'!H8&lt;=3,2,IF('Rekap Nilai'!H8&lt;=4,3,4)))),MAX(0,'Rekap Nilai'!H8-5))*$F$7</f>
        <v/>
      </c>
      <c r="D15" s="56">
        <f>IF('Rekap Nilai'!C8&lt;=5,'Rekap Nilai'!C8,'Rekap Nilai'!C8)*$A$7+IF('Rekap Nilai'!D8&lt;=5,'Rekap Nilai'!D8,'Rekap Nilai'!D8)*$B$7+IF('Rekap Nilai'!E8&lt;=5,'Rekap Nilai'!E8,'Rekap Nilai'!E8)*$C$7+IF('Rekap Nilai'!F8&lt;=5,'Rekap Nilai'!F8,'Rekap Nilai'!F8)*$D$7+IF('Rekap Nilai'!G8&lt;=5,'Rekap Nilai'!G8,'Rekap Nilai'!G8)*$E$7+IF('Rekap Nilai'!H8&lt;=5,'Rekap Nilai'!H8,'Rekap Nilai'!H8)*$F$7</f>
        <v/>
      </c>
      <c r="E15" s="56">
        <f>IF('Rekap Nilai'!C8&lt;=5,IF('Rekap Nilai'!C8&lt;=1,2,IF('Rekap Nilai'!C8&lt;=2,3,IF('Rekap Nilai'!C8&lt;=3,4,IF('Rekap Nilai'!C8&lt;=4,5,5)))),MIN(100,'Rekap Nilai'!C8+5))*$A$7+IF('Rekap Nilai'!D8&lt;=5,IF('Rekap Nilai'!D8&lt;=1,2,IF('Rekap Nilai'!D8&lt;=2,3,IF('Rekap Nilai'!D8&lt;=3,4,IF('Rekap Nilai'!D8&lt;=4,5,5)))),MIN(100,'Rekap Nilai'!D8+5))*$B$7+IF('Rekap Nilai'!E8&lt;=5,IF('Rekap Nilai'!E8&lt;=1,2,IF('Rekap Nilai'!E8&lt;=2,3,IF('Rekap Nilai'!E8&lt;=3,4,IF('Rekap Nilai'!E8&lt;=4,5,5)))),MIN(100,'Rekap Nilai'!E8+5))*$C$7+IF('Rekap Nilai'!F8&lt;=5,IF('Rekap Nilai'!F8&lt;=1,2,IF('Rekap Nilai'!F8&lt;=2,3,IF('Rekap Nilai'!F8&lt;=3,4,IF('Rekap Nilai'!F8&lt;=4,5,5)))),MIN(100,'Rekap Nilai'!F8+5))*$D$7+IF('Rekap Nilai'!G8&lt;=5,IF('Rekap Nilai'!G8&lt;=1,2,IF('Rekap Nilai'!G8&lt;=2,3,IF('Rekap Nilai'!G8&lt;=3,4,IF('Rekap Nilai'!G8&lt;=4,5,5)))),MIN(100,'Rekap Nilai'!G8+5))*$E$7+IF('Rekap Nilai'!H8&lt;=5,IF('Rekap Nilai'!H8&lt;=1,2,IF('Rekap Nilai'!H8&lt;=2,3,IF('Rekap Nilai'!H8&lt;=3,4,IF('Rekap Nilai'!H8&lt;=4,5,5)))),MIN(100,'Rekap Nilai'!H8+5))*$F$7</f>
        <v/>
      </c>
      <c r="F15" s="57">
        <f>(C15+D15+E15)/3</f>
        <v/>
      </c>
      <c r="G15" s="58">
        <f>IF(B15="","",RANK(F15,$F$11:$F$20,0))</f>
        <v/>
      </c>
    </row>
    <row r="16">
      <c r="A16" s="5" t="n">
        <v>6</v>
      </c>
      <c r="B16" s="4">
        <f>'Input'!B19</f>
        <v/>
      </c>
      <c r="C16" s="56">
        <f>IF('Rekap Nilai'!C9&lt;=5,IF('Rekap Nilai'!C9&lt;=1,1,IF('Rekap Nilai'!C9&lt;=2,1,IF('Rekap Nilai'!C9&lt;=3,2,IF('Rekap Nilai'!C9&lt;=4,3,4)))),MAX(0,'Rekap Nilai'!C9-5))*$A$7+IF('Rekap Nilai'!D9&lt;=5,IF('Rekap Nilai'!D9&lt;=1,1,IF('Rekap Nilai'!D9&lt;=2,1,IF('Rekap Nilai'!D9&lt;=3,2,IF('Rekap Nilai'!D9&lt;=4,3,4)))),MAX(0,'Rekap Nilai'!D9-5))*$B$7+IF('Rekap Nilai'!E9&lt;=5,IF('Rekap Nilai'!E9&lt;=1,1,IF('Rekap Nilai'!E9&lt;=2,1,IF('Rekap Nilai'!E9&lt;=3,2,IF('Rekap Nilai'!E9&lt;=4,3,4)))),MAX(0,'Rekap Nilai'!E9-5))*$C$7+IF('Rekap Nilai'!F9&lt;=5,IF('Rekap Nilai'!F9&lt;=1,1,IF('Rekap Nilai'!F9&lt;=2,1,IF('Rekap Nilai'!F9&lt;=3,2,IF('Rekap Nilai'!F9&lt;=4,3,4)))),MAX(0,'Rekap Nilai'!F9-5))*$D$7+IF('Rekap Nilai'!G9&lt;=5,IF('Rekap Nilai'!G9&lt;=1,1,IF('Rekap Nilai'!G9&lt;=2,1,IF('Rekap Nilai'!G9&lt;=3,2,IF('Rekap Nilai'!G9&lt;=4,3,4)))),MAX(0,'Rekap Nilai'!G9-5))*$E$7+IF('Rekap Nilai'!H9&lt;=5,IF('Rekap Nilai'!H9&lt;=1,1,IF('Rekap Nilai'!H9&lt;=2,1,IF('Rekap Nilai'!H9&lt;=3,2,IF('Rekap Nilai'!H9&lt;=4,3,4)))),MAX(0,'Rekap Nilai'!H9-5))*$F$7</f>
        <v/>
      </c>
      <c r="D16" s="56">
        <f>IF('Rekap Nilai'!C9&lt;=5,'Rekap Nilai'!C9,'Rekap Nilai'!C9)*$A$7+IF('Rekap Nilai'!D9&lt;=5,'Rekap Nilai'!D9,'Rekap Nilai'!D9)*$B$7+IF('Rekap Nilai'!E9&lt;=5,'Rekap Nilai'!E9,'Rekap Nilai'!E9)*$C$7+IF('Rekap Nilai'!F9&lt;=5,'Rekap Nilai'!F9,'Rekap Nilai'!F9)*$D$7+IF('Rekap Nilai'!G9&lt;=5,'Rekap Nilai'!G9,'Rekap Nilai'!G9)*$E$7+IF('Rekap Nilai'!H9&lt;=5,'Rekap Nilai'!H9,'Rekap Nilai'!H9)*$F$7</f>
        <v/>
      </c>
      <c r="E16" s="56">
        <f>IF('Rekap Nilai'!C9&lt;=5,IF('Rekap Nilai'!C9&lt;=1,2,IF('Rekap Nilai'!C9&lt;=2,3,IF('Rekap Nilai'!C9&lt;=3,4,IF('Rekap Nilai'!C9&lt;=4,5,5)))),MIN(100,'Rekap Nilai'!C9+5))*$A$7+IF('Rekap Nilai'!D9&lt;=5,IF('Rekap Nilai'!D9&lt;=1,2,IF('Rekap Nilai'!D9&lt;=2,3,IF('Rekap Nilai'!D9&lt;=3,4,IF('Rekap Nilai'!D9&lt;=4,5,5)))),MIN(100,'Rekap Nilai'!D9+5))*$B$7+IF('Rekap Nilai'!E9&lt;=5,IF('Rekap Nilai'!E9&lt;=1,2,IF('Rekap Nilai'!E9&lt;=2,3,IF('Rekap Nilai'!E9&lt;=3,4,IF('Rekap Nilai'!E9&lt;=4,5,5)))),MIN(100,'Rekap Nilai'!E9+5))*$C$7+IF('Rekap Nilai'!F9&lt;=5,IF('Rekap Nilai'!F9&lt;=1,2,IF('Rekap Nilai'!F9&lt;=2,3,IF('Rekap Nilai'!F9&lt;=3,4,IF('Rekap Nilai'!F9&lt;=4,5,5)))),MIN(100,'Rekap Nilai'!F9+5))*$D$7+IF('Rekap Nilai'!G9&lt;=5,IF('Rekap Nilai'!G9&lt;=1,2,IF('Rekap Nilai'!G9&lt;=2,3,IF('Rekap Nilai'!G9&lt;=3,4,IF('Rekap Nilai'!G9&lt;=4,5,5)))),MIN(100,'Rekap Nilai'!G9+5))*$E$7+IF('Rekap Nilai'!H9&lt;=5,IF('Rekap Nilai'!H9&lt;=1,2,IF('Rekap Nilai'!H9&lt;=2,3,IF('Rekap Nilai'!H9&lt;=3,4,IF('Rekap Nilai'!H9&lt;=4,5,5)))),MIN(100,'Rekap Nilai'!H9+5))*$F$7</f>
        <v/>
      </c>
      <c r="F16" s="57">
        <f>(C16+D16+E16)/3</f>
        <v/>
      </c>
      <c r="G16" s="58">
        <f>IF(B16="","",RANK(F16,$F$11:$F$20,0))</f>
        <v/>
      </c>
    </row>
    <row r="17">
      <c r="A17" s="5" t="n">
        <v>7</v>
      </c>
      <c r="B17" s="4">
        <f>'Input'!B20</f>
        <v/>
      </c>
      <c r="C17" s="56">
        <f>IF('Rekap Nilai'!C10&lt;=5,IF('Rekap Nilai'!C10&lt;=1,1,IF('Rekap Nilai'!C10&lt;=2,1,IF('Rekap Nilai'!C10&lt;=3,2,IF('Rekap Nilai'!C10&lt;=4,3,4)))),MAX(0,'Rekap Nilai'!C10-5))*$A$7+IF('Rekap Nilai'!D10&lt;=5,IF('Rekap Nilai'!D10&lt;=1,1,IF('Rekap Nilai'!D10&lt;=2,1,IF('Rekap Nilai'!D10&lt;=3,2,IF('Rekap Nilai'!D10&lt;=4,3,4)))),MAX(0,'Rekap Nilai'!D10-5))*$B$7+IF('Rekap Nilai'!E10&lt;=5,IF('Rekap Nilai'!E10&lt;=1,1,IF('Rekap Nilai'!E10&lt;=2,1,IF('Rekap Nilai'!E10&lt;=3,2,IF('Rekap Nilai'!E10&lt;=4,3,4)))),MAX(0,'Rekap Nilai'!E10-5))*$C$7+IF('Rekap Nilai'!F10&lt;=5,IF('Rekap Nilai'!F10&lt;=1,1,IF('Rekap Nilai'!F10&lt;=2,1,IF('Rekap Nilai'!F10&lt;=3,2,IF('Rekap Nilai'!F10&lt;=4,3,4)))),MAX(0,'Rekap Nilai'!F10-5))*$D$7+IF('Rekap Nilai'!G10&lt;=5,IF('Rekap Nilai'!G10&lt;=1,1,IF('Rekap Nilai'!G10&lt;=2,1,IF('Rekap Nilai'!G10&lt;=3,2,IF('Rekap Nilai'!G10&lt;=4,3,4)))),MAX(0,'Rekap Nilai'!G10-5))*$E$7+IF('Rekap Nilai'!H10&lt;=5,IF('Rekap Nilai'!H10&lt;=1,1,IF('Rekap Nilai'!H10&lt;=2,1,IF('Rekap Nilai'!H10&lt;=3,2,IF('Rekap Nilai'!H10&lt;=4,3,4)))),MAX(0,'Rekap Nilai'!H10-5))*$F$7</f>
        <v/>
      </c>
      <c r="D17" s="56">
        <f>IF('Rekap Nilai'!C10&lt;=5,'Rekap Nilai'!C10,'Rekap Nilai'!C10)*$A$7+IF('Rekap Nilai'!D10&lt;=5,'Rekap Nilai'!D10,'Rekap Nilai'!D10)*$B$7+IF('Rekap Nilai'!E10&lt;=5,'Rekap Nilai'!E10,'Rekap Nilai'!E10)*$C$7+IF('Rekap Nilai'!F10&lt;=5,'Rekap Nilai'!F10,'Rekap Nilai'!F10)*$D$7+IF('Rekap Nilai'!G10&lt;=5,'Rekap Nilai'!G10,'Rekap Nilai'!G10)*$E$7+IF('Rekap Nilai'!H10&lt;=5,'Rekap Nilai'!H10,'Rekap Nilai'!H10)*$F$7</f>
        <v/>
      </c>
      <c r="E17" s="56">
        <f>IF('Rekap Nilai'!C10&lt;=5,IF('Rekap Nilai'!C10&lt;=1,2,IF('Rekap Nilai'!C10&lt;=2,3,IF('Rekap Nilai'!C10&lt;=3,4,IF('Rekap Nilai'!C10&lt;=4,5,5)))),MIN(100,'Rekap Nilai'!C10+5))*$A$7+IF('Rekap Nilai'!D10&lt;=5,IF('Rekap Nilai'!D10&lt;=1,2,IF('Rekap Nilai'!D10&lt;=2,3,IF('Rekap Nilai'!D10&lt;=3,4,IF('Rekap Nilai'!D10&lt;=4,5,5)))),MIN(100,'Rekap Nilai'!D10+5))*$B$7+IF('Rekap Nilai'!E10&lt;=5,IF('Rekap Nilai'!E10&lt;=1,2,IF('Rekap Nilai'!E10&lt;=2,3,IF('Rekap Nilai'!E10&lt;=3,4,IF('Rekap Nilai'!E10&lt;=4,5,5)))),MIN(100,'Rekap Nilai'!E10+5))*$C$7+IF('Rekap Nilai'!F10&lt;=5,IF('Rekap Nilai'!F10&lt;=1,2,IF('Rekap Nilai'!F10&lt;=2,3,IF('Rekap Nilai'!F10&lt;=3,4,IF('Rekap Nilai'!F10&lt;=4,5,5)))),MIN(100,'Rekap Nilai'!F10+5))*$D$7+IF('Rekap Nilai'!G10&lt;=5,IF('Rekap Nilai'!G10&lt;=1,2,IF('Rekap Nilai'!G10&lt;=2,3,IF('Rekap Nilai'!G10&lt;=3,4,IF('Rekap Nilai'!G10&lt;=4,5,5)))),MIN(100,'Rekap Nilai'!G10+5))*$E$7+IF('Rekap Nilai'!H10&lt;=5,IF('Rekap Nilai'!H10&lt;=1,2,IF('Rekap Nilai'!H10&lt;=2,3,IF('Rekap Nilai'!H10&lt;=3,4,IF('Rekap Nilai'!H10&lt;=4,5,5)))),MIN(100,'Rekap Nilai'!H10+5))*$F$7</f>
        <v/>
      </c>
      <c r="F17" s="57">
        <f>(C17+D17+E17)/3</f>
        <v/>
      </c>
      <c r="G17" s="58">
        <f>IF(B17="","",RANK(F17,$F$11:$F$20,0))</f>
        <v/>
      </c>
    </row>
    <row r="18">
      <c r="A18" s="5" t="n">
        <v>8</v>
      </c>
      <c r="B18" s="4">
        <f>'Input'!B21</f>
        <v/>
      </c>
      <c r="C18" s="56">
        <f>IF('Rekap Nilai'!C11&lt;=5,IF('Rekap Nilai'!C11&lt;=1,1,IF('Rekap Nilai'!C11&lt;=2,1,IF('Rekap Nilai'!C11&lt;=3,2,IF('Rekap Nilai'!C11&lt;=4,3,4)))),MAX(0,'Rekap Nilai'!C11-5))*$A$7+IF('Rekap Nilai'!D11&lt;=5,IF('Rekap Nilai'!D11&lt;=1,1,IF('Rekap Nilai'!D11&lt;=2,1,IF('Rekap Nilai'!D11&lt;=3,2,IF('Rekap Nilai'!D11&lt;=4,3,4)))),MAX(0,'Rekap Nilai'!D11-5))*$B$7+IF('Rekap Nilai'!E11&lt;=5,IF('Rekap Nilai'!E11&lt;=1,1,IF('Rekap Nilai'!E11&lt;=2,1,IF('Rekap Nilai'!E11&lt;=3,2,IF('Rekap Nilai'!E11&lt;=4,3,4)))),MAX(0,'Rekap Nilai'!E11-5))*$C$7+IF('Rekap Nilai'!F11&lt;=5,IF('Rekap Nilai'!F11&lt;=1,1,IF('Rekap Nilai'!F11&lt;=2,1,IF('Rekap Nilai'!F11&lt;=3,2,IF('Rekap Nilai'!F11&lt;=4,3,4)))),MAX(0,'Rekap Nilai'!F11-5))*$D$7+IF('Rekap Nilai'!G11&lt;=5,IF('Rekap Nilai'!G11&lt;=1,1,IF('Rekap Nilai'!G11&lt;=2,1,IF('Rekap Nilai'!G11&lt;=3,2,IF('Rekap Nilai'!G11&lt;=4,3,4)))),MAX(0,'Rekap Nilai'!G11-5))*$E$7+IF('Rekap Nilai'!H11&lt;=5,IF('Rekap Nilai'!H11&lt;=1,1,IF('Rekap Nilai'!H11&lt;=2,1,IF('Rekap Nilai'!H11&lt;=3,2,IF('Rekap Nilai'!H11&lt;=4,3,4)))),MAX(0,'Rekap Nilai'!H11-5))*$F$7</f>
        <v/>
      </c>
      <c r="D18" s="56">
        <f>IF('Rekap Nilai'!C11&lt;=5,'Rekap Nilai'!C11,'Rekap Nilai'!C11)*$A$7+IF('Rekap Nilai'!D11&lt;=5,'Rekap Nilai'!D11,'Rekap Nilai'!D11)*$B$7+IF('Rekap Nilai'!E11&lt;=5,'Rekap Nilai'!E11,'Rekap Nilai'!E11)*$C$7+IF('Rekap Nilai'!F11&lt;=5,'Rekap Nilai'!F11,'Rekap Nilai'!F11)*$D$7+IF('Rekap Nilai'!G11&lt;=5,'Rekap Nilai'!G11,'Rekap Nilai'!G11)*$E$7+IF('Rekap Nilai'!H11&lt;=5,'Rekap Nilai'!H11,'Rekap Nilai'!H11)*$F$7</f>
        <v/>
      </c>
      <c r="E18" s="56">
        <f>IF('Rekap Nilai'!C11&lt;=5,IF('Rekap Nilai'!C11&lt;=1,2,IF('Rekap Nilai'!C11&lt;=2,3,IF('Rekap Nilai'!C11&lt;=3,4,IF('Rekap Nilai'!C11&lt;=4,5,5)))),MIN(100,'Rekap Nilai'!C11+5))*$A$7+IF('Rekap Nilai'!D11&lt;=5,IF('Rekap Nilai'!D11&lt;=1,2,IF('Rekap Nilai'!D11&lt;=2,3,IF('Rekap Nilai'!D11&lt;=3,4,IF('Rekap Nilai'!D11&lt;=4,5,5)))),MIN(100,'Rekap Nilai'!D11+5))*$B$7+IF('Rekap Nilai'!E11&lt;=5,IF('Rekap Nilai'!E11&lt;=1,2,IF('Rekap Nilai'!E11&lt;=2,3,IF('Rekap Nilai'!E11&lt;=3,4,IF('Rekap Nilai'!E11&lt;=4,5,5)))),MIN(100,'Rekap Nilai'!E11+5))*$C$7+IF('Rekap Nilai'!F11&lt;=5,IF('Rekap Nilai'!F11&lt;=1,2,IF('Rekap Nilai'!F11&lt;=2,3,IF('Rekap Nilai'!F11&lt;=3,4,IF('Rekap Nilai'!F11&lt;=4,5,5)))),MIN(100,'Rekap Nilai'!F11+5))*$D$7+IF('Rekap Nilai'!G11&lt;=5,IF('Rekap Nilai'!G11&lt;=1,2,IF('Rekap Nilai'!G11&lt;=2,3,IF('Rekap Nilai'!G11&lt;=3,4,IF('Rekap Nilai'!G11&lt;=4,5,5)))),MIN(100,'Rekap Nilai'!G11+5))*$E$7+IF('Rekap Nilai'!H11&lt;=5,IF('Rekap Nilai'!H11&lt;=1,2,IF('Rekap Nilai'!H11&lt;=2,3,IF('Rekap Nilai'!H11&lt;=3,4,IF('Rekap Nilai'!H11&lt;=4,5,5)))),MIN(100,'Rekap Nilai'!H11+5))*$F$7</f>
        <v/>
      </c>
      <c r="F18" s="57">
        <f>(C18+D18+E18)/3</f>
        <v/>
      </c>
      <c r="G18" s="58">
        <f>IF(B18="","",RANK(F18,$F$11:$F$20,0))</f>
        <v/>
      </c>
    </row>
    <row r="19">
      <c r="A19" s="5" t="n">
        <v>9</v>
      </c>
      <c r="B19" s="4">
        <f>'Input'!B22</f>
        <v/>
      </c>
      <c r="C19" s="56">
        <f>IF('Rekap Nilai'!C12&lt;=5,IF('Rekap Nilai'!C12&lt;=1,1,IF('Rekap Nilai'!C12&lt;=2,1,IF('Rekap Nilai'!C12&lt;=3,2,IF('Rekap Nilai'!C12&lt;=4,3,4)))),MAX(0,'Rekap Nilai'!C12-5))*$A$7+IF('Rekap Nilai'!D12&lt;=5,IF('Rekap Nilai'!D12&lt;=1,1,IF('Rekap Nilai'!D12&lt;=2,1,IF('Rekap Nilai'!D12&lt;=3,2,IF('Rekap Nilai'!D12&lt;=4,3,4)))),MAX(0,'Rekap Nilai'!D12-5))*$B$7+IF('Rekap Nilai'!E12&lt;=5,IF('Rekap Nilai'!E12&lt;=1,1,IF('Rekap Nilai'!E12&lt;=2,1,IF('Rekap Nilai'!E12&lt;=3,2,IF('Rekap Nilai'!E12&lt;=4,3,4)))),MAX(0,'Rekap Nilai'!E12-5))*$C$7+IF('Rekap Nilai'!F12&lt;=5,IF('Rekap Nilai'!F12&lt;=1,1,IF('Rekap Nilai'!F12&lt;=2,1,IF('Rekap Nilai'!F12&lt;=3,2,IF('Rekap Nilai'!F12&lt;=4,3,4)))),MAX(0,'Rekap Nilai'!F12-5))*$D$7+IF('Rekap Nilai'!G12&lt;=5,IF('Rekap Nilai'!G12&lt;=1,1,IF('Rekap Nilai'!G12&lt;=2,1,IF('Rekap Nilai'!G12&lt;=3,2,IF('Rekap Nilai'!G12&lt;=4,3,4)))),MAX(0,'Rekap Nilai'!G12-5))*$E$7+IF('Rekap Nilai'!H12&lt;=5,IF('Rekap Nilai'!H12&lt;=1,1,IF('Rekap Nilai'!H12&lt;=2,1,IF('Rekap Nilai'!H12&lt;=3,2,IF('Rekap Nilai'!H12&lt;=4,3,4)))),MAX(0,'Rekap Nilai'!H12-5))*$F$7</f>
        <v/>
      </c>
      <c r="D19" s="56">
        <f>IF('Rekap Nilai'!C12&lt;=5,'Rekap Nilai'!C12,'Rekap Nilai'!C12)*$A$7+IF('Rekap Nilai'!D12&lt;=5,'Rekap Nilai'!D12,'Rekap Nilai'!D12)*$B$7+IF('Rekap Nilai'!E12&lt;=5,'Rekap Nilai'!E12,'Rekap Nilai'!E12)*$C$7+IF('Rekap Nilai'!F12&lt;=5,'Rekap Nilai'!F12,'Rekap Nilai'!F12)*$D$7+IF('Rekap Nilai'!G12&lt;=5,'Rekap Nilai'!G12,'Rekap Nilai'!G12)*$E$7+IF('Rekap Nilai'!H12&lt;=5,'Rekap Nilai'!H12,'Rekap Nilai'!H12)*$F$7</f>
        <v/>
      </c>
      <c r="E19" s="56">
        <f>IF('Rekap Nilai'!C12&lt;=5,IF('Rekap Nilai'!C12&lt;=1,2,IF('Rekap Nilai'!C12&lt;=2,3,IF('Rekap Nilai'!C12&lt;=3,4,IF('Rekap Nilai'!C12&lt;=4,5,5)))),MIN(100,'Rekap Nilai'!C12+5))*$A$7+IF('Rekap Nilai'!D12&lt;=5,IF('Rekap Nilai'!D12&lt;=1,2,IF('Rekap Nilai'!D12&lt;=2,3,IF('Rekap Nilai'!D12&lt;=3,4,IF('Rekap Nilai'!D12&lt;=4,5,5)))),MIN(100,'Rekap Nilai'!D12+5))*$B$7+IF('Rekap Nilai'!E12&lt;=5,IF('Rekap Nilai'!E12&lt;=1,2,IF('Rekap Nilai'!E12&lt;=2,3,IF('Rekap Nilai'!E12&lt;=3,4,IF('Rekap Nilai'!E12&lt;=4,5,5)))),MIN(100,'Rekap Nilai'!E12+5))*$C$7+IF('Rekap Nilai'!F12&lt;=5,IF('Rekap Nilai'!F12&lt;=1,2,IF('Rekap Nilai'!F12&lt;=2,3,IF('Rekap Nilai'!F12&lt;=3,4,IF('Rekap Nilai'!F12&lt;=4,5,5)))),MIN(100,'Rekap Nilai'!F12+5))*$D$7+IF('Rekap Nilai'!G12&lt;=5,IF('Rekap Nilai'!G12&lt;=1,2,IF('Rekap Nilai'!G12&lt;=2,3,IF('Rekap Nilai'!G12&lt;=3,4,IF('Rekap Nilai'!G12&lt;=4,5,5)))),MIN(100,'Rekap Nilai'!G12+5))*$E$7+IF('Rekap Nilai'!H12&lt;=5,IF('Rekap Nilai'!H12&lt;=1,2,IF('Rekap Nilai'!H12&lt;=2,3,IF('Rekap Nilai'!H12&lt;=3,4,IF('Rekap Nilai'!H12&lt;=4,5,5)))),MIN(100,'Rekap Nilai'!H12+5))*$F$7</f>
        <v/>
      </c>
      <c r="F19" s="57">
        <f>(C19+D19+E19)/3</f>
        <v/>
      </c>
      <c r="G19" s="58">
        <f>IF(B19="","",RANK(F19,$F$11:$F$20,0))</f>
        <v/>
      </c>
    </row>
    <row r="20">
      <c r="A20" s="5" t="n">
        <v>10</v>
      </c>
      <c r="B20" s="4">
        <f>'Input'!B23</f>
        <v/>
      </c>
      <c r="C20" s="56">
        <f>IF('Rekap Nilai'!C13&lt;=5,IF('Rekap Nilai'!C13&lt;=1,1,IF('Rekap Nilai'!C13&lt;=2,1,IF('Rekap Nilai'!C13&lt;=3,2,IF('Rekap Nilai'!C13&lt;=4,3,4)))),MAX(0,'Rekap Nilai'!C13-5))*$A$7+IF('Rekap Nilai'!D13&lt;=5,IF('Rekap Nilai'!D13&lt;=1,1,IF('Rekap Nilai'!D13&lt;=2,1,IF('Rekap Nilai'!D13&lt;=3,2,IF('Rekap Nilai'!D13&lt;=4,3,4)))),MAX(0,'Rekap Nilai'!D13-5))*$B$7+IF('Rekap Nilai'!E13&lt;=5,IF('Rekap Nilai'!E13&lt;=1,1,IF('Rekap Nilai'!E13&lt;=2,1,IF('Rekap Nilai'!E13&lt;=3,2,IF('Rekap Nilai'!E13&lt;=4,3,4)))),MAX(0,'Rekap Nilai'!E13-5))*$C$7+IF('Rekap Nilai'!F13&lt;=5,IF('Rekap Nilai'!F13&lt;=1,1,IF('Rekap Nilai'!F13&lt;=2,1,IF('Rekap Nilai'!F13&lt;=3,2,IF('Rekap Nilai'!F13&lt;=4,3,4)))),MAX(0,'Rekap Nilai'!F13-5))*$D$7+IF('Rekap Nilai'!G13&lt;=5,IF('Rekap Nilai'!G13&lt;=1,1,IF('Rekap Nilai'!G13&lt;=2,1,IF('Rekap Nilai'!G13&lt;=3,2,IF('Rekap Nilai'!G13&lt;=4,3,4)))),MAX(0,'Rekap Nilai'!G13-5))*$E$7+IF('Rekap Nilai'!H13&lt;=5,IF('Rekap Nilai'!H13&lt;=1,1,IF('Rekap Nilai'!H13&lt;=2,1,IF('Rekap Nilai'!H13&lt;=3,2,IF('Rekap Nilai'!H13&lt;=4,3,4)))),MAX(0,'Rekap Nilai'!H13-5))*$F$7</f>
        <v/>
      </c>
      <c r="D20" s="56">
        <f>IF('Rekap Nilai'!C13&lt;=5,'Rekap Nilai'!C13,'Rekap Nilai'!C13)*$A$7+IF('Rekap Nilai'!D13&lt;=5,'Rekap Nilai'!D13,'Rekap Nilai'!D13)*$B$7+IF('Rekap Nilai'!E13&lt;=5,'Rekap Nilai'!E13,'Rekap Nilai'!E13)*$C$7+IF('Rekap Nilai'!F13&lt;=5,'Rekap Nilai'!F13,'Rekap Nilai'!F13)*$D$7+IF('Rekap Nilai'!G13&lt;=5,'Rekap Nilai'!G13,'Rekap Nilai'!G13)*$E$7+IF('Rekap Nilai'!H13&lt;=5,'Rekap Nilai'!H13,'Rekap Nilai'!H13)*$F$7</f>
        <v/>
      </c>
      <c r="E20" s="56">
        <f>IF('Rekap Nilai'!C13&lt;=5,IF('Rekap Nilai'!C13&lt;=1,2,IF('Rekap Nilai'!C13&lt;=2,3,IF('Rekap Nilai'!C13&lt;=3,4,IF('Rekap Nilai'!C13&lt;=4,5,5)))),MIN(100,'Rekap Nilai'!C13+5))*$A$7+IF('Rekap Nilai'!D13&lt;=5,IF('Rekap Nilai'!D13&lt;=1,2,IF('Rekap Nilai'!D13&lt;=2,3,IF('Rekap Nilai'!D13&lt;=3,4,IF('Rekap Nilai'!D13&lt;=4,5,5)))),MIN(100,'Rekap Nilai'!D13+5))*$B$7+IF('Rekap Nilai'!E13&lt;=5,IF('Rekap Nilai'!E13&lt;=1,2,IF('Rekap Nilai'!E13&lt;=2,3,IF('Rekap Nilai'!E13&lt;=3,4,IF('Rekap Nilai'!E13&lt;=4,5,5)))),MIN(100,'Rekap Nilai'!E13+5))*$C$7+IF('Rekap Nilai'!F13&lt;=5,IF('Rekap Nilai'!F13&lt;=1,2,IF('Rekap Nilai'!F13&lt;=2,3,IF('Rekap Nilai'!F13&lt;=3,4,IF('Rekap Nilai'!F13&lt;=4,5,5)))),MIN(100,'Rekap Nilai'!F13+5))*$D$7+IF('Rekap Nilai'!G13&lt;=5,IF('Rekap Nilai'!G13&lt;=1,2,IF('Rekap Nilai'!G13&lt;=2,3,IF('Rekap Nilai'!G13&lt;=3,4,IF('Rekap Nilai'!G13&lt;=4,5,5)))),MIN(100,'Rekap Nilai'!G13+5))*$E$7+IF('Rekap Nilai'!H13&lt;=5,IF('Rekap Nilai'!H13&lt;=1,2,IF('Rekap Nilai'!H13&lt;=2,3,IF('Rekap Nilai'!H13&lt;=3,4,IF('Rekap Nilai'!H13&lt;=4,5,5)))),MIN(100,'Rekap Nilai'!H13+5))*$F$7</f>
        <v/>
      </c>
      <c r="F20" s="57">
        <f>(C20+D20+E20)/3</f>
        <v/>
      </c>
      <c r="G20" s="58">
        <f>IF(B20="","",RANK(F20,$F$11:$F$20,0))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2026-02-10T14:59:00Z</dcterms:created>
  <dcterms:modified xsi:type="dcterms:W3CDTF">2026-02-10T14:59:00Z</dcterms:modified>
</cp:coreProperties>
</file>