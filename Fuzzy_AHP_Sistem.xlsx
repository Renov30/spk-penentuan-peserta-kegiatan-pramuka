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D:\laragon\www\appSaringPramuka\"/>
    </mc:Choice>
  </mc:AlternateContent>
  <xr:revisionPtr revIDLastSave="0" documentId="13_ncr:1_{1C18BABF-B702-4E75-BEFC-13BBA0E5F3AB}" xr6:coauthVersionLast="47" xr6:coauthVersionMax="47" xr10:uidLastSave="{00000000-0000-0000-0000-000000000000}"/>
  <bookViews>
    <workbookView xWindow="28680" yWindow="-2370" windowWidth="19440" windowHeight="10320" xr2:uid="{00000000-000D-0000-FFFF-FFFF00000000}"/>
  </bookViews>
  <sheets>
    <sheet name="Input Data" sheetId="1" r:id="rId1"/>
    <sheet name="1-3. Crisp &amp; Konsistensi" sheetId="2" r:id="rId2"/>
    <sheet name="4-6. Fuzzy &amp; Bobot" sheetId="3" r:id="rId3"/>
    <sheet name="Nilai Peserta" sheetId="4" r:id="rId4"/>
    <sheet name="Hasil &amp; Ranking" sheetId="5" r:id="rId5"/>
  </sheets>
  <calcPr calcId="191029"/>
</workbook>
</file>

<file path=xl/calcChain.xml><?xml version="1.0" encoding="utf-8"?>
<calcChain xmlns="http://schemas.openxmlformats.org/spreadsheetml/2006/main">
  <c r="B5" i="4" l="1"/>
  <c r="B19" i="5"/>
  <c r="B18" i="5"/>
  <c r="B17" i="5"/>
  <c r="B16" i="5"/>
  <c r="B15" i="5"/>
  <c r="B14" i="5"/>
  <c r="B13" i="5"/>
  <c r="B12" i="5"/>
  <c r="B11" i="5"/>
  <c r="B10" i="5"/>
  <c r="B14" i="4"/>
  <c r="B13" i="4"/>
  <c r="B12" i="4"/>
  <c r="B11" i="4"/>
  <c r="B10" i="4"/>
  <c r="B9" i="4"/>
  <c r="B8" i="4"/>
  <c r="B7" i="4"/>
  <c r="B6" i="4"/>
  <c r="F11" i="2"/>
  <c r="E11" i="2"/>
  <c r="D11" i="2"/>
  <c r="C11" i="2"/>
  <c r="B11" i="2"/>
  <c r="G10" i="2"/>
  <c r="S23" i="3" s="1"/>
  <c r="E10" i="2"/>
  <c r="D10" i="2"/>
  <c r="C10" i="2"/>
  <c r="B10" i="2"/>
  <c r="G9" i="2"/>
  <c r="S22" i="3" s="1"/>
  <c r="F9" i="2"/>
  <c r="L23" i="3" s="1"/>
  <c r="D9" i="2"/>
  <c r="C9" i="2"/>
  <c r="B9" i="2"/>
  <c r="G8" i="2"/>
  <c r="I24" i="3" s="1"/>
  <c r="F8" i="2"/>
  <c r="H23" i="3" s="1"/>
  <c r="E8" i="2"/>
  <c r="M21" i="3" s="1"/>
  <c r="C8" i="2"/>
  <c r="B8" i="2"/>
  <c r="G7" i="2"/>
  <c r="E24" i="3" s="1"/>
  <c r="F7" i="2"/>
  <c r="P20" i="3" s="1"/>
  <c r="E7" i="2"/>
  <c r="D7" i="2"/>
  <c r="F21" i="3" s="1"/>
  <c r="B7" i="2"/>
  <c r="G6" i="2"/>
  <c r="S19" i="3" s="1"/>
  <c r="F6" i="2"/>
  <c r="E6" i="2"/>
  <c r="C22" i="3" s="1"/>
  <c r="D6" i="2"/>
  <c r="B21" i="3" s="1"/>
  <c r="C6" i="2"/>
  <c r="G19" i="3" s="1"/>
  <c r="J20" i="3" l="1"/>
  <c r="C21" i="3"/>
  <c r="R21" i="3"/>
  <c r="F24" i="3"/>
  <c r="P22" i="3"/>
  <c r="M23" i="3"/>
  <c r="O21" i="3"/>
  <c r="N24" i="3"/>
  <c r="O22" i="3"/>
  <c r="G21" i="3"/>
  <c r="S21" i="3"/>
  <c r="I23" i="3"/>
  <c r="J24" i="3"/>
  <c r="I19" i="3"/>
  <c r="N21" i="3"/>
  <c r="H22" i="3"/>
  <c r="J23" i="3"/>
  <c r="E23" i="3"/>
  <c r="Q20" i="3"/>
  <c r="G24" i="3"/>
  <c r="R20" i="3"/>
  <c r="B22" i="2"/>
  <c r="I20" i="3"/>
  <c r="L19" i="3"/>
  <c r="D21" i="3"/>
  <c r="M19" i="3"/>
  <c r="H19" i="3"/>
  <c r="B20" i="3"/>
  <c r="D22" i="3"/>
  <c r="B24" i="3"/>
  <c r="D23" i="3"/>
  <c r="O19" i="3"/>
  <c r="B23" i="3"/>
  <c r="C23" i="3"/>
  <c r="N19" i="3"/>
  <c r="B21" i="2"/>
  <c r="M24" i="3"/>
  <c r="R22" i="3"/>
  <c r="L24" i="3"/>
  <c r="Q22" i="3"/>
  <c r="K24" i="3"/>
  <c r="G22" i="3"/>
  <c r="L20" i="3"/>
  <c r="F22" i="3"/>
  <c r="K20" i="3"/>
  <c r="B18" i="2"/>
  <c r="E22" i="3"/>
  <c r="B20" i="2"/>
  <c r="B19" i="2"/>
  <c r="P19" i="3"/>
  <c r="M20" i="3"/>
  <c r="Q19" i="3"/>
  <c r="C20" i="3"/>
  <c r="N20" i="3"/>
  <c r="K21" i="3"/>
  <c r="O24" i="3"/>
  <c r="E19" i="3"/>
  <c r="Q23" i="3"/>
  <c r="C24" i="3"/>
  <c r="F19" i="3"/>
  <c r="J19" i="3"/>
  <c r="R19" i="3"/>
  <c r="D20" i="3"/>
  <c r="O20" i="3"/>
  <c r="S20" i="3"/>
  <c r="E21" i="3"/>
  <c r="L21" i="3"/>
  <c r="C32" i="3" s="1"/>
  <c r="P21" i="3"/>
  <c r="B22" i="3"/>
  <c r="J22" i="3"/>
  <c r="G23" i="3"/>
  <c r="K23" i="3"/>
  <c r="R23" i="3"/>
  <c r="D24" i="3"/>
  <c r="H24" i="3"/>
  <c r="P24" i="3"/>
  <c r="I22" i="3"/>
  <c r="F23" i="3"/>
  <c r="B17" i="2"/>
  <c r="K19" i="3"/>
  <c r="H20" i="3"/>
  <c r="Q21" i="3"/>
  <c r="N22" i="3"/>
  <c r="B35" i="3" l="1"/>
  <c r="B31" i="3"/>
  <c r="D30" i="3"/>
  <c r="D32" i="3"/>
  <c r="C33" i="3"/>
  <c r="B32" i="3"/>
  <c r="D33" i="3"/>
  <c r="C34" i="3"/>
  <c r="C30" i="3"/>
  <c r="B23" i="2"/>
  <c r="C22" i="2" s="1"/>
  <c r="D31" i="3"/>
  <c r="C35" i="3"/>
  <c r="B34" i="3"/>
  <c r="D35" i="3"/>
  <c r="B33" i="3"/>
  <c r="B30" i="3"/>
  <c r="C31" i="3"/>
  <c r="D34" i="3"/>
  <c r="D36" i="3" l="1"/>
  <c r="B41" i="3" s="1"/>
  <c r="C36" i="3"/>
  <c r="C42" i="3" s="1"/>
  <c r="C21" i="2"/>
  <c r="B43" i="3"/>
  <c r="B44" i="3"/>
  <c r="C20" i="2"/>
  <c r="C18" i="2"/>
  <c r="B45" i="3"/>
  <c r="B36" i="3"/>
  <c r="D41" i="3" s="1"/>
  <c r="C19" i="2"/>
  <c r="B42" i="3"/>
  <c r="C17" i="2"/>
  <c r="C40" i="3" l="1"/>
  <c r="B40" i="3"/>
  <c r="C45" i="3"/>
  <c r="C41" i="3"/>
  <c r="C43" i="3"/>
  <c r="C44" i="3"/>
  <c r="D45" i="3"/>
  <c r="B52" i="3"/>
  <c r="B33" i="2"/>
  <c r="C33" i="2" s="1"/>
  <c r="B30" i="2"/>
  <c r="C30" i="2" s="1"/>
  <c r="B28" i="2"/>
  <c r="C28" i="2" s="1"/>
  <c r="C23" i="2"/>
  <c r="B29" i="2"/>
  <c r="C29" i="2" s="1"/>
  <c r="B31" i="2"/>
  <c r="C31" i="2" s="1"/>
  <c r="B32" i="2"/>
  <c r="C32" i="2" s="1"/>
  <c r="D42" i="3"/>
  <c r="B53" i="3" s="1"/>
  <c r="D40" i="3"/>
  <c r="D43" i="3"/>
  <c r="B56" i="3"/>
  <c r="D44" i="3"/>
  <c r="B51" i="3" l="1"/>
  <c r="B55" i="3"/>
  <c r="B54" i="3"/>
  <c r="B35" i="2"/>
  <c r="B36" i="2" s="1"/>
  <c r="B38" i="2" s="1"/>
  <c r="B39" i="2" s="1"/>
  <c r="B57" i="3" l="1"/>
  <c r="C52" i="3" s="1"/>
  <c r="D52" i="3" s="1"/>
  <c r="B6" i="5"/>
  <c r="C56" i="3"/>
  <c r="C55" i="3"/>
  <c r="C54" i="3" l="1"/>
  <c r="D6" i="5" s="1"/>
  <c r="C51" i="3"/>
  <c r="A6" i="5" s="1"/>
  <c r="C53" i="3"/>
  <c r="C57" i="3"/>
  <c r="E6" i="5"/>
  <c r="D55" i="3"/>
  <c r="D56" i="3"/>
  <c r="F6" i="5"/>
  <c r="D17" i="5"/>
  <c r="D13" i="5"/>
  <c r="D14" i="5"/>
  <c r="D16" i="5"/>
  <c r="D12" i="5"/>
  <c r="D19" i="5"/>
  <c r="D15" i="5"/>
  <c r="D11" i="5"/>
  <c r="D18" i="5"/>
  <c r="D10" i="5"/>
  <c r="C6" i="5"/>
  <c r="D53" i="3"/>
  <c r="D51" i="3" l="1"/>
  <c r="D54" i="3"/>
  <c r="E16" i="5"/>
  <c r="E12" i="5"/>
  <c r="E13" i="5"/>
  <c r="E19" i="5"/>
  <c r="E15" i="5"/>
  <c r="E11" i="5"/>
  <c r="E18" i="5"/>
  <c r="E14" i="5"/>
  <c r="E10" i="5"/>
  <c r="E17" i="5"/>
  <c r="F19" i="5"/>
  <c r="F15" i="5"/>
  <c r="F11" i="5"/>
  <c r="F16" i="5"/>
  <c r="F18" i="5"/>
  <c r="F14" i="5"/>
  <c r="F10" i="5"/>
  <c r="F17" i="5"/>
  <c r="F13" i="5"/>
  <c r="F12" i="5"/>
  <c r="G18" i="5"/>
  <c r="G14" i="5"/>
  <c r="G10" i="5"/>
  <c r="G17" i="5"/>
  <c r="G13" i="5"/>
  <c r="G19" i="5"/>
  <c r="G11" i="5"/>
  <c r="G16" i="5"/>
  <c r="G12" i="5"/>
  <c r="G15" i="5"/>
  <c r="H17" i="5"/>
  <c r="H13" i="5"/>
  <c r="H16" i="5"/>
  <c r="H12" i="5"/>
  <c r="H10" i="5"/>
  <c r="H19" i="5"/>
  <c r="H15" i="5"/>
  <c r="H11" i="5"/>
  <c r="H18" i="5"/>
  <c r="H14" i="5"/>
  <c r="C18" i="5"/>
  <c r="C14" i="5"/>
  <c r="C10" i="5"/>
  <c r="C19" i="5"/>
  <c r="I19" i="5" s="1"/>
  <c r="C15" i="5"/>
  <c r="C17" i="5"/>
  <c r="C13" i="5"/>
  <c r="C16" i="5"/>
  <c r="C12" i="5"/>
  <c r="C11" i="5"/>
  <c r="I16" i="5" l="1"/>
  <c r="I10" i="5"/>
  <c r="I11" i="5"/>
  <c r="I13" i="5"/>
  <c r="I17" i="5"/>
  <c r="I14" i="5"/>
  <c r="I12" i="5"/>
  <c r="I15" i="5"/>
  <c r="I18" i="5"/>
  <c r="J12" i="5" l="1"/>
  <c r="J19" i="5"/>
  <c r="J18" i="5"/>
  <c r="J17" i="5"/>
  <c r="J14" i="5"/>
  <c r="J13" i="5"/>
  <c r="J11" i="5"/>
  <c r="J15" i="5"/>
  <c r="J16" i="5"/>
  <c r="J10" i="5"/>
</calcChain>
</file>

<file path=xl/sharedStrings.xml><?xml version="1.0" encoding="utf-8"?>
<sst xmlns="http://schemas.openxmlformats.org/spreadsheetml/2006/main" count="190" uniqueCount="94">
  <si>
    <t>FUZZY AHP - INPUT DATA</t>
  </si>
  <si>
    <t>Masukkan data di sel berwarna KUNING</t>
  </si>
  <si>
    <t>DATA KEGIATAN</t>
  </si>
  <si>
    <t>Nama Kegiatan:</t>
  </si>
  <si>
    <t>Kuota:</t>
  </si>
  <si>
    <t>INPUT BOBOT KRITERIA (Skala 1-9)</t>
  </si>
  <si>
    <t>Kode</t>
  </si>
  <si>
    <t>Kriteria</t>
  </si>
  <si>
    <t>Bobot (1-9)</t>
  </si>
  <si>
    <t>K1</t>
  </si>
  <si>
    <t>Status Keaktifan</t>
  </si>
  <si>
    <t>K2</t>
  </si>
  <si>
    <t>Pencapaian SKU</t>
  </si>
  <si>
    <t>K3</t>
  </si>
  <si>
    <t>Pencapaian SPG</t>
  </si>
  <si>
    <t>K4</t>
  </si>
  <si>
    <t>Kesehatan Jasmani</t>
  </si>
  <si>
    <t>K5</t>
  </si>
  <si>
    <t>Tes Wawancara</t>
  </si>
  <si>
    <t>K6</t>
  </si>
  <si>
    <t>Tes Pilihan Ganda</t>
  </si>
  <si>
    <t>DAFTAR PESERTA</t>
  </si>
  <si>
    <t>No</t>
  </si>
  <si>
    <t>Nama Peserta</t>
  </si>
  <si>
    <t>Asal</t>
  </si>
  <si>
    <t>Merauke</t>
  </si>
  <si>
    <t>Jayapura</t>
  </si>
  <si>
    <t>LANGKAH 1-3: MATRIKS CRISP, EIGENVECTOR &amp; UJI KONSISTENSI</t>
  </si>
  <si>
    <t>LANGKAH 1: PENYUSUNAN MATRIKS PERBANDINGAN BERPASANGAN (CRISP)</t>
  </si>
  <si>
    <t>Matriks di-generate otomatis berdasarkan rasio bobot kriteria dari Sheet Input</t>
  </si>
  <si>
    <t>LANGKAH 2: PERHITUNGAN VECTOR EIGEN (GEOMETRIC MEAN METHOD)</t>
  </si>
  <si>
    <t>GMi = (Πaij)^(1/n), Wi = GMi / ΣGMi</t>
  </si>
  <si>
    <t>Geometric Mean (GM)</t>
  </si>
  <si>
    <t>Eigenvector (Wi)</t>
  </si>
  <si>
    <t>Total</t>
  </si>
  <si>
    <t>LANGKAH 3: UJI KONSISTENSI MATRIKS PERBANDINGAN</t>
  </si>
  <si>
    <t>CI = (λmax - n) / (n - 1), CR = CI / RI</t>
  </si>
  <si>
    <t>A*w</t>
  </si>
  <si>
    <t>(A*w)/w</t>
  </si>
  <si>
    <t>Lambda Max (λmax):</t>
  </si>
  <si>
    <t>Consistency Index (CI):</t>
  </si>
  <si>
    <t>Random Index (RI) n=6:</t>
  </si>
  <si>
    <t>Consistency Ratio (CR):</t>
  </si>
  <si>
    <t>Status:</t>
  </si>
  <si>
    <t>LANGKAH 4-6: FUZZIFIKASI, SYNTHETIC EXTENT &amp; BOBOT GLOBAL</t>
  </si>
  <si>
    <t>TABEL SKALA FUZZY (TFN)</t>
  </si>
  <si>
    <t>Intensitas</t>
  </si>
  <si>
    <t>l</t>
  </si>
  <si>
    <t>m</t>
  </si>
  <si>
    <t>u</t>
  </si>
  <si>
    <t>Kebalikan (1/u, 1/m, 1/l)</t>
  </si>
  <si>
    <t>(1/1, 1/1, 1/1)</t>
  </si>
  <si>
    <t>(1/1.5, 1/1, 1/0.5)</t>
  </si>
  <si>
    <t>(1/2, 1/1.5, 1/1)</t>
  </si>
  <si>
    <t>(1/2.5, 1/2, 1/1.5)</t>
  </si>
  <si>
    <t>(1/3, 1/2.5, 1/2)</t>
  </si>
  <si>
    <t>(1/3.5, 1/3, 1/2.5)</t>
  </si>
  <si>
    <t>(1/4, 1/3.5, 1/3)</t>
  </si>
  <si>
    <t>(1/4.5, 1/4, 1/3.5)</t>
  </si>
  <si>
    <t>(1/4.5, 1/4.5, 1/4)</t>
  </si>
  <si>
    <t>LANGKAH 4: FUZZIFIKASI MATRIKS PERBANDINGAN BERPASANGAN</t>
  </si>
  <si>
    <t>Konversi nilai crisp ke Triangular Fuzzy Number (TFN)</t>
  </si>
  <si>
    <t>LANGKAH 5: PERHITUNGAN FUZZY SYNTHETIC EXTENT</t>
  </si>
  <si>
    <t>Si = (ΣMij) ⊗ (ΣΣMij)^-1</t>
  </si>
  <si>
    <t>Σl</t>
  </si>
  <si>
    <t>Σm</t>
  </si>
  <si>
    <t>Σu</t>
  </si>
  <si>
    <t>Fuzzy Synthetic Extent (Si)</t>
  </si>
  <si>
    <t>Si(l)</t>
  </si>
  <si>
    <t>Si(m)</t>
  </si>
  <si>
    <t>Si(u)</t>
  </si>
  <si>
    <t>LANGKAH 6: PERBANDINGAN PROBABILITAS, NORMALISASI &amp; BOBOT GLOBAL</t>
  </si>
  <si>
    <t>d'(Ai) = min V(Si &gt;= Sk), Wi = d'(Ai) / Σd'(Ai)</t>
  </si>
  <si>
    <t>d'(Ai)</t>
  </si>
  <si>
    <t>Bobot Normal (Wi)</t>
  </si>
  <si>
    <t>Persentase</t>
  </si>
  <si>
    <t>INPUT NILAI PESERTA PER KRITERIA</t>
  </si>
  <si>
    <t>Masukkan nilai 0-100 untuk setiap kriteria</t>
  </si>
  <si>
    <t>PERHITUNGAN SKOR AKHIR &amp; RANKING</t>
  </si>
  <si>
    <t>Skor Akhir = Σ(Nilai × Bobot Global)</t>
  </si>
  <si>
    <t>BOBOT GLOBAL KRITERIA</t>
  </si>
  <si>
    <t>PERHITUNGAN SKOR AKHIR</t>
  </si>
  <si>
    <t>Nama</t>
  </si>
  <si>
    <t>K1×W</t>
  </si>
  <si>
    <t>K2×W</t>
  </si>
  <si>
    <t>K3×W</t>
  </si>
  <si>
    <t>K4×W</t>
  </si>
  <si>
    <t>K5×W</t>
  </si>
  <si>
    <t>K6×W</t>
  </si>
  <si>
    <t>Skor Akhir</t>
  </si>
  <si>
    <t>Ranking</t>
  </si>
  <si>
    <t>Gading Martin</t>
  </si>
  <si>
    <t>Taufik Iriansyah</t>
  </si>
  <si>
    <t>Kegiatan itu sudah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</si>
</sst>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&quot;%&quot;"/>
  </numFmts>
  <fonts count="20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i/>
      <sz val="11"/>
      <color rgb="FFFF0000"/>
      <name val="Calibri"/>
    </font>
    <font>
      <b/>
      <sz val="12"/>
      <color rgb="FF1F4E79"/>
      <name val="Calibri"/>
    </font>
    <font>
      <sz val="11"/>
      <color rgb="FF0000FF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1F4E79"/>
      <name val="Calibri"/>
    </font>
    <font>
      <b/>
      <sz val="12"/>
      <color rgb="FFFFFFFF"/>
      <name val="Calibri"/>
    </font>
    <font>
      <i/>
      <sz val="9"/>
      <color rgb="FF666666"/>
      <name val="Calibri"/>
    </font>
    <font>
      <i/>
      <sz val="10"/>
      <color rgb="FF16A34A"/>
      <name val="Calibri"/>
    </font>
    <font>
      <i/>
      <sz val="10"/>
      <color rgb="FFCA8A04"/>
      <name val="Calibri"/>
    </font>
    <font>
      <b/>
      <sz val="11"/>
      <color rgb="FF1F4E79"/>
      <name val="Calibri"/>
    </font>
    <font>
      <b/>
      <sz val="12"/>
      <color rgb="FF9333EA"/>
      <name val="Calibri"/>
    </font>
    <font>
      <b/>
      <sz val="10"/>
      <color rgb="FF000000"/>
      <name val="Calibri"/>
    </font>
    <font>
      <i/>
      <sz val="10"/>
      <color rgb="FFD97706"/>
      <name val="Calibri"/>
    </font>
    <font>
      <b/>
      <sz val="11"/>
      <color rgb="FFD97706"/>
      <name val="Calibri"/>
    </font>
    <font>
      <i/>
      <sz val="10"/>
      <color rgb="FF0D9488"/>
      <name val="Calibri"/>
    </font>
    <font>
      <i/>
      <sz val="11"/>
      <color rgb="FF666666"/>
      <name val="Calibri"/>
    </font>
    <font>
      <b/>
      <sz val="12"/>
      <color rgb="FF0D9488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D6DCE4"/>
        <bgColor rgb="FFD6DCE4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CA8A04"/>
        <bgColor rgb="FFCA8A04"/>
      </patternFill>
    </fill>
    <fill>
      <patternFill patternType="solid">
        <fgColor rgb="FFFFF2CC"/>
        <bgColor rgb="FFFFF2CC"/>
      </patternFill>
    </fill>
    <fill>
      <patternFill patternType="solid">
        <fgColor rgb="FF9333EA"/>
        <bgColor rgb="FF9333EA"/>
      </patternFill>
    </fill>
    <fill>
      <patternFill patternType="solid">
        <fgColor rgb="FFE9D5FF"/>
        <bgColor rgb="FFE9D5FF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5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2" fontId="6" fillId="13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2" fontId="6" fillId="15" borderId="1" xfId="0" applyNumberFormat="1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center" vertical="center" wrapText="1"/>
    </xf>
    <xf numFmtId="164" fontId="6" fillId="15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164" fontId="6" fillId="17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2" fontId="6" fillId="8" borderId="1" xfId="0" applyNumberFormat="1" applyFont="1" applyFill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10" fillId="0" borderId="0" xfId="0" applyFont="1"/>
    <xf numFmtId="0" fontId="8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8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8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6" fillId="0" borderId="1" xfId="0" applyFont="1" applyBorder="1" applyAlignment="1">
      <alignment horizontal="center" vertical="center" wrapText="1"/>
    </xf>
    <xf numFmtId="0" fontId="9" fillId="0" borderId="0" xfId="0" applyFont="1"/>
    <xf numFmtId="0" fontId="7" fillId="0" borderId="0" xfId="0" applyFont="1"/>
    <xf numFmtId="0" fontId="11" fillId="0" borderId="0" xfId="0" applyFont="1"/>
    <xf numFmtId="0" fontId="16" fillId="0" borderId="0" xfId="0" applyFont="1"/>
    <xf numFmtId="0" fontId="8" fillId="14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15" fillId="0" borderId="0" xfId="0" applyFont="1"/>
    <xf numFmtId="0" fontId="5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0" fillId="16" borderId="1" xfId="0" applyFill="1" applyBorder="1"/>
    <xf numFmtId="0" fontId="17" fillId="0" borderId="0" xfId="0" applyFont="1"/>
    <xf numFmtId="0" fontId="8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3" fillId="0" borderId="0" xfId="0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F10" sqref="F10"/>
    </sheetView>
  </sheetViews>
  <sheetFormatPr defaultRowHeight="14.4" x14ac:dyDescent="0.3"/>
  <cols>
    <col min="1" max="1" width="15" customWidth="1"/>
    <col min="2" max="2" width="30" customWidth="1"/>
    <col min="3" max="3" width="20" customWidth="1"/>
  </cols>
  <sheetData>
    <row r="1" spans="1:6" ht="23.4" x14ac:dyDescent="0.45">
      <c r="A1" s="32" t="s">
        <v>0</v>
      </c>
      <c r="B1" s="27"/>
      <c r="C1" s="27"/>
      <c r="D1" s="27"/>
      <c r="E1" s="27"/>
      <c r="F1" s="27"/>
    </row>
    <row r="2" spans="1:6" x14ac:dyDescent="0.3">
      <c r="A2" s="26" t="s">
        <v>1</v>
      </c>
      <c r="B2" s="27"/>
      <c r="C2" s="27"/>
      <c r="D2" s="27"/>
      <c r="E2" s="27"/>
      <c r="F2" s="27"/>
    </row>
    <row r="4" spans="1:6" ht="15.6" x14ac:dyDescent="0.3">
      <c r="A4" s="28" t="s">
        <v>2</v>
      </c>
      <c r="B4" s="27"/>
      <c r="C4" s="27"/>
      <c r="D4" s="27"/>
    </row>
    <row r="5" spans="1:6" x14ac:dyDescent="0.3">
      <c r="A5" t="s">
        <v>3</v>
      </c>
      <c r="B5" s="29" t="s">
        <v>93</v>
      </c>
      <c r="C5" s="30"/>
      <c r="D5" s="31"/>
    </row>
    <row r="6" spans="1:6" x14ac:dyDescent="0.3">
      <c r="A6" t="s">
        <v>4</v>
      </c>
      <c r="B6" s="1">
        <v>5</v>
      </c>
    </row>
    <row r="8" spans="1:6" ht="15.6" x14ac:dyDescent="0.3">
      <c r="A8" s="28" t="s">
        <v>5</v>
      </c>
      <c r="B8" s="27"/>
      <c r="C8" s="27"/>
      <c r="D8" s="27"/>
    </row>
    <row r="9" spans="1:6" x14ac:dyDescent="0.3">
      <c r="A9" s="2" t="s">
        <v>6</v>
      </c>
      <c r="B9" s="2" t="s">
        <v>7</v>
      </c>
      <c r="C9" s="3" t="s">
        <v>8</v>
      </c>
    </row>
    <row r="10" spans="1:6" x14ac:dyDescent="0.3">
      <c r="A10" s="4" t="s">
        <v>9</v>
      </c>
      <c r="B10" s="5" t="s">
        <v>10</v>
      </c>
      <c r="C10" s="1">
        <v>1</v>
      </c>
    </row>
    <row r="11" spans="1:6" x14ac:dyDescent="0.3">
      <c r="A11" s="4" t="s">
        <v>11</v>
      </c>
      <c r="B11" s="5" t="s">
        <v>12</v>
      </c>
      <c r="C11" s="1">
        <v>2</v>
      </c>
    </row>
    <row r="12" spans="1:6" x14ac:dyDescent="0.3">
      <c r="A12" s="4" t="s">
        <v>13</v>
      </c>
      <c r="B12" s="5" t="s">
        <v>14</v>
      </c>
      <c r="C12" s="1">
        <v>2</v>
      </c>
    </row>
    <row r="13" spans="1:6" x14ac:dyDescent="0.3">
      <c r="A13" s="4" t="s">
        <v>15</v>
      </c>
      <c r="B13" s="5" t="s">
        <v>16</v>
      </c>
      <c r="C13" s="1">
        <v>3</v>
      </c>
    </row>
    <row r="14" spans="1:6" x14ac:dyDescent="0.3">
      <c r="A14" s="4" t="s">
        <v>17</v>
      </c>
      <c r="B14" s="5" t="s">
        <v>18</v>
      </c>
      <c r="C14" s="1">
        <v>4</v>
      </c>
    </row>
    <row r="15" spans="1:6" x14ac:dyDescent="0.3">
      <c r="A15" s="4" t="s">
        <v>19</v>
      </c>
      <c r="B15" s="5" t="s">
        <v>20</v>
      </c>
      <c r="C15" s="1">
        <v>5</v>
      </c>
    </row>
    <row r="18" spans="1:4" ht="15.6" x14ac:dyDescent="0.3">
      <c r="A18" s="28" t="s">
        <v>21</v>
      </c>
      <c r="B18" s="27"/>
      <c r="C18" s="27"/>
      <c r="D18" s="27"/>
    </row>
    <row r="19" spans="1:4" x14ac:dyDescent="0.3">
      <c r="A19" s="2" t="s">
        <v>22</v>
      </c>
      <c r="B19" s="2" t="s">
        <v>23</v>
      </c>
      <c r="C19" s="2" t="s">
        <v>24</v>
      </c>
    </row>
    <row r="20" spans="1:4" x14ac:dyDescent="0.3">
      <c r="A20" s="5">
        <v>1</v>
      </c>
      <c r="B20" s="1" t="s">
        <v>91</v>
      </c>
      <c r="C20" s="1" t="s">
        <v>25</v>
      </c>
    </row>
    <row r="21" spans="1:4" x14ac:dyDescent="0.3">
      <c r="A21" s="5">
        <v>2</v>
      </c>
      <c r="B21" s="1" t="s">
        <v>92</v>
      </c>
      <c r="C21" s="1" t="s">
        <v>26</v>
      </c>
    </row>
    <row r="22" spans="1:4" x14ac:dyDescent="0.3">
      <c r="A22" s="5">
        <v>3</v>
      </c>
      <c r="B22" s="1"/>
      <c r="C22" s="1"/>
    </row>
    <row r="23" spans="1:4" x14ac:dyDescent="0.3">
      <c r="A23" s="5">
        <v>4</v>
      </c>
      <c r="B23" s="1"/>
      <c r="C23" s="1"/>
    </row>
    <row r="24" spans="1:4" x14ac:dyDescent="0.3">
      <c r="A24" s="5">
        <v>5</v>
      </c>
      <c r="B24" s="1"/>
      <c r="C24" s="1"/>
    </row>
    <row r="25" spans="1:4" x14ac:dyDescent="0.3">
      <c r="A25" s="5">
        <v>6</v>
      </c>
      <c r="B25" s="1"/>
      <c r="C25" s="1"/>
    </row>
    <row r="26" spans="1:4" x14ac:dyDescent="0.3">
      <c r="A26" s="5">
        <v>7</v>
      </c>
      <c r="B26" s="1"/>
      <c r="C26" s="1"/>
    </row>
    <row r="27" spans="1:4" x14ac:dyDescent="0.3">
      <c r="A27" s="5">
        <v>8</v>
      </c>
      <c r="B27" s="1"/>
      <c r="C27" s="1"/>
    </row>
    <row r="28" spans="1:4" x14ac:dyDescent="0.3">
      <c r="A28" s="5">
        <v>9</v>
      </c>
      <c r="B28" s="1"/>
      <c r="C28" s="1"/>
    </row>
    <row r="29" spans="1:4" x14ac:dyDescent="0.3">
      <c r="A29" s="5">
        <v>10</v>
      </c>
      <c r="B29" s="1"/>
      <c r="C29" s="1"/>
    </row>
  </sheetData>
  <mergeCells count="6">
    <mergeCell ref="A1:F1"/>
    <mergeCell ref="A2:F2"/>
    <mergeCell ref="A18:D18"/>
    <mergeCell ref="B5:D5"/>
    <mergeCell ref="A8:D8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workbookViewId="0">
      <selection activeCell="E7" sqref="E7"/>
    </sheetView>
  </sheetViews>
  <sheetFormatPr defaultRowHeight="14.4" x14ac:dyDescent="0.3"/>
  <cols>
    <col min="1" max="1" width="25" customWidth="1"/>
    <col min="2" max="10" width="14" customWidth="1"/>
  </cols>
  <sheetData>
    <row r="1" spans="1:11" ht="21" x14ac:dyDescent="0.4">
      <c r="A1" s="42" t="s">
        <v>27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3" spans="1:11" x14ac:dyDescent="0.3">
      <c r="A3" s="38" t="s">
        <v>28</v>
      </c>
      <c r="B3" s="39"/>
      <c r="C3" s="39"/>
      <c r="D3" s="39"/>
      <c r="E3" s="39"/>
      <c r="F3" s="39"/>
      <c r="G3" s="39"/>
      <c r="H3" s="39"/>
      <c r="I3" s="39"/>
    </row>
    <row r="4" spans="1:11" x14ac:dyDescent="0.3">
      <c r="A4" s="41" t="s">
        <v>29</v>
      </c>
      <c r="B4" s="27"/>
      <c r="C4" s="27"/>
      <c r="D4" s="27"/>
      <c r="E4" s="27"/>
      <c r="F4" s="27"/>
      <c r="G4" s="27"/>
      <c r="H4" s="27"/>
      <c r="I4" s="27"/>
    </row>
    <row r="5" spans="1:11" x14ac:dyDescent="0.3">
      <c r="A5" s="2" t="s">
        <v>7</v>
      </c>
      <c r="B5" s="2" t="s">
        <v>9</v>
      </c>
      <c r="C5" s="2" t="s">
        <v>11</v>
      </c>
      <c r="D5" s="2" t="s">
        <v>13</v>
      </c>
      <c r="E5" s="2" t="s">
        <v>15</v>
      </c>
      <c r="F5" s="2" t="s">
        <v>17</v>
      </c>
      <c r="G5" s="2" t="s">
        <v>19</v>
      </c>
    </row>
    <row r="6" spans="1:11" x14ac:dyDescent="0.3">
      <c r="A6" s="4" t="s">
        <v>9</v>
      </c>
      <c r="B6" s="4">
        <v>1</v>
      </c>
      <c r="C6" s="6">
        <f>IF('Input Data'!C10&gt;='Input Data'!C11,MAX(1,MIN(9,ROUND('Input Data'!C10/'Input Data'!C11,0))),1/MAX(1,MIN(9,ROUND('Input Data'!C11/'Input Data'!C10,0))))</f>
        <v>0.5</v>
      </c>
      <c r="D6" s="6">
        <f>IF('Input Data'!C10&gt;='Input Data'!C12,MAX(1,MIN(9,ROUND('Input Data'!C10/'Input Data'!C12,0))),1/MAX(1,MIN(9,ROUND('Input Data'!C12/'Input Data'!C10,0))))</f>
        <v>0.5</v>
      </c>
      <c r="E6" s="6">
        <f>IF('Input Data'!C10&gt;='Input Data'!C13,MAX(1,MIN(9,ROUND('Input Data'!C10/'Input Data'!C13,0))),1/MAX(1,MIN(9,ROUND('Input Data'!C13/'Input Data'!C10,0))))</f>
        <v>0.33333333333333331</v>
      </c>
      <c r="F6" s="6">
        <f>IF('Input Data'!C10&gt;='Input Data'!C14,MAX(1,MIN(9,ROUND('Input Data'!C10/'Input Data'!C14,0))),1/MAX(1,MIN(9,ROUND('Input Data'!C14/'Input Data'!C10,0))))</f>
        <v>0.25</v>
      </c>
      <c r="G6" s="6">
        <f>IF('Input Data'!C10&gt;='Input Data'!C15,MAX(1,MIN(9,ROUND('Input Data'!C10/'Input Data'!C15,0))),1/MAX(1,MIN(9,ROUND('Input Data'!C15/'Input Data'!C10,0))))</f>
        <v>0.2</v>
      </c>
    </row>
    <row r="7" spans="1:11" x14ac:dyDescent="0.3">
      <c r="A7" s="4" t="s">
        <v>11</v>
      </c>
      <c r="B7" s="6">
        <f>IF('Input Data'!C11&gt;='Input Data'!C10,MAX(1,MIN(9,ROUND('Input Data'!C11/'Input Data'!C10,0))),1/MAX(1,MIN(9,ROUND('Input Data'!C10/'Input Data'!C11,0))))</f>
        <v>2</v>
      </c>
      <c r="C7" s="4">
        <v>1</v>
      </c>
      <c r="D7" s="6">
        <f>IF('Input Data'!C11&gt;='Input Data'!C12,MAX(1,MIN(9,ROUND('Input Data'!C11/'Input Data'!C12,0))),1/MAX(1,MIN(9,ROUND('Input Data'!C12/'Input Data'!C11,0))))</f>
        <v>1</v>
      </c>
      <c r="E7" s="6">
        <f>IF('Input Data'!C11&gt;='Input Data'!C13,MAX(1,MIN(9,ROUND('Input Data'!C11/'Input Data'!C13,0))),1/MAX(1,MIN(9,ROUND('Input Data'!C13/'Input Data'!C11,0))))</f>
        <v>0.5</v>
      </c>
      <c r="F7" s="6">
        <f>IF('Input Data'!C11&gt;='Input Data'!C14,MAX(1,MIN(9,ROUND('Input Data'!C11/'Input Data'!C14,0))),1/MAX(1,MIN(9,ROUND('Input Data'!C14/'Input Data'!C11,0))))</f>
        <v>0.5</v>
      </c>
      <c r="G7" s="6">
        <f>IF('Input Data'!C11&gt;='Input Data'!C15,MAX(1,MIN(9,ROUND('Input Data'!C11/'Input Data'!C15,0))),1/MAX(1,MIN(9,ROUND('Input Data'!C15/'Input Data'!C11,0))))</f>
        <v>0.33333333333333331</v>
      </c>
    </row>
    <row r="8" spans="1:11" x14ac:dyDescent="0.3">
      <c r="A8" s="4" t="s">
        <v>13</v>
      </c>
      <c r="B8" s="6">
        <f>IF('Input Data'!C12&gt;='Input Data'!C10,MAX(1,MIN(9,ROUND('Input Data'!C12/'Input Data'!C10,0))),1/MAX(1,MIN(9,ROUND('Input Data'!C10/'Input Data'!C12,0))))</f>
        <v>2</v>
      </c>
      <c r="C8" s="6">
        <f>IF('Input Data'!C12&gt;='Input Data'!C11,MAX(1,MIN(9,ROUND('Input Data'!C12/'Input Data'!C11,0))),1/MAX(1,MIN(9,ROUND('Input Data'!C11/'Input Data'!C12,0))))</f>
        <v>1</v>
      </c>
      <c r="D8" s="4">
        <v>1</v>
      </c>
      <c r="E8" s="6">
        <f>IF('Input Data'!C12&gt;='Input Data'!C13,MAX(1,MIN(9,ROUND('Input Data'!C12/'Input Data'!C13,0))),1/MAX(1,MIN(9,ROUND('Input Data'!C13/'Input Data'!C12,0))))</f>
        <v>0.5</v>
      </c>
      <c r="F8" s="6">
        <f>IF('Input Data'!C12&gt;='Input Data'!C14,MAX(1,MIN(9,ROUND('Input Data'!C12/'Input Data'!C14,0))),1/MAX(1,MIN(9,ROUND('Input Data'!C14/'Input Data'!C12,0))))</f>
        <v>0.5</v>
      </c>
      <c r="G8" s="6">
        <f>IF('Input Data'!C12&gt;='Input Data'!C15,MAX(1,MIN(9,ROUND('Input Data'!C12/'Input Data'!C15,0))),1/MAX(1,MIN(9,ROUND('Input Data'!C15/'Input Data'!C12,0))))</f>
        <v>0.33333333333333331</v>
      </c>
    </row>
    <row r="9" spans="1:11" x14ac:dyDescent="0.3">
      <c r="A9" s="4" t="s">
        <v>15</v>
      </c>
      <c r="B9" s="6">
        <f>IF('Input Data'!C13&gt;='Input Data'!C10,MAX(1,MIN(9,ROUND('Input Data'!C13/'Input Data'!C10,0))),1/MAX(1,MIN(9,ROUND('Input Data'!C10/'Input Data'!C13,0))))</f>
        <v>3</v>
      </c>
      <c r="C9" s="6">
        <f>IF('Input Data'!C13&gt;='Input Data'!C11,MAX(1,MIN(9,ROUND('Input Data'!C13/'Input Data'!C11,0))),1/MAX(1,MIN(9,ROUND('Input Data'!C11/'Input Data'!C13,0))))</f>
        <v>2</v>
      </c>
      <c r="D9" s="6">
        <f>IF('Input Data'!C13&gt;='Input Data'!C12,MAX(1,MIN(9,ROUND('Input Data'!C13/'Input Data'!C12,0))),1/MAX(1,MIN(9,ROUND('Input Data'!C12/'Input Data'!C13,0))))</f>
        <v>2</v>
      </c>
      <c r="E9" s="4">
        <v>1</v>
      </c>
      <c r="F9" s="6">
        <f>IF('Input Data'!C13&gt;='Input Data'!C14,MAX(1,MIN(9,ROUND('Input Data'!C13/'Input Data'!C14,0))),1/MAX(1,MIN(9,ROUND('Input Data'!C14/'Input Data'!C13,0))))</f>
        <v>1</v>
      </c>
      <c r="G9" s="6">
        <f>IF('Input Data'!C13&gt;='Input Data'!C15,MAX(1,MIN(9,ROUND('Input Data'!C13/'Input Data'!C15,0))),1/MAX(1,MIN(9,ROUND('Input Data'!C15/'Input Data'!C13,0))))</f>
        <v>0.5</v>
      </c>
    </row>
    <row r="10" spans="1:11" x14ac:dyDescent="0.3">
      <c r="A10" s="4" t="s">
        <v>17</v>
      </c>
      <c r="B10" s="6">
        <f>IF('Input Data'!C14&gt;='Input Data'!C10,MAX(1,MIN(9,ROUND('Input Data'!C14/'Input Data'!C10,0))),1/MAX(1,MIN(9,ROUND('Input Data'!C10/'Input Data'!C14,0))))</f>
        <v>4</v>
      </c>
      <c r="C10" s="6">
        <f>IF('Input Data'!C14&gt;='Input Data'!C11,MAX(1,MIN(9,ROUND('Input Data'!C14/'Input Data'!C11,0))),1/MAX(1,MIN(9,ROUND('Input Data'!C11/'Input Data'!C14,0))))</f>
        <v>2</v>
      </c>
      <c r="D10" s="6">
        <f>IF('Input Data'!C14&gt;='Input Data'!C12,MAX(1,MIN(9,ROUND('Input Data'!C14/'Input Data'!C12,0))),1/MAX(1,MIN(9,ROUND('Input Data'!C12/'Input Data'!C14,0))))</f>
        <v>2</v>
      </c>
      <c r="E10" s="6">
        <f>IF('Input Data'!C14&gt;='Input Data'!C13,MAX(1,MIN(9,ROUND('Input Data'!C14/'Input Data'!C13,0))),1/MAX(1,MIN(9,ROUND('Input Data'!C13/'Input Data'!C14,0))))</f>
        <v>1</v>
      </c>
      <c r="F10" s="4">
        <v>1</v>
      </c>
      <c r="G10" s="6">
        <f>IF('Input Data'!C14&gt;='Input Data'!C15,MAX(1,MIN(9,ROUND('Input Data'!C14/'Input Data'!C15,0))),1/MAX(1,MIN(9,ROUND('Input Data'!C15/'Input Data'!C14,0))))</f>
        <v>1</v>
      </c>
    </row>
    <row r="11" spans="1:11" x14ac:dyDescent="0.3">
      <c r="A11" s="4" t="s">
        <v>19</v>
      </c>
      <c r="B11" s="6">
        <f>IF('Input Data'!C15&gt;='Input Data'!C10,MAX(1,MIN(9,ROUND('Input Data'!C15/'Input Data'!C10,0))),1/MAX(1,MIN(9,ROUND('Input Data'!C10/'Input Data'!C15,0))))</f>
        <v>5</v>
      </c>
      <c r="C11" s="6">
        <f>IF('Input Data'!C15&gt;='Input Data'!C11,MAX(1,MIN(9,ROUND('Input Data'!C15/'Input Data'!C11,0))),1/MAX(1,MIN(9,ROUND('Input Data'!C11/'Input Data'!C15,0))))</f>
        <v>3</v>
      </c>
      <c r="D11" s="6">
        <f>IF('Input Data'!C15&gt;='Input Data'!C12,MAX(1,MIN(9,ROUND('Input Data'!C15/'Input Data'!C12,0))),1/MAX(1,MIN(9,ROUND('Input Data'!C12/'Input Data'!C15,0))))</f>
        <v>3</v>
      </c>
      <c r="E11" s="6">
        <f>IF('Input Data'!C15&gt;='Input Data'!C13,MAX(1,MIN(9,ROUND('Input Data'!C15/'Input Data'!C13,0))),1/MAX(1,MIN(9,ROUND('Input Data'!C13/'Input Data'!C15,0))))</f>
        <v>2</v>
      </c>
      <c r="F11" s="6">
        <f>IF('Input Data'!C15&gt;='Input Data'!C14,MAX(1,MIN(9,ROUND('Input Data'!C15/'Input Data'!C14,0))),1/MAX(1,MIN(9,ROUND('Input Data'!C14/'Input Data'!C15,0))))</f>
        <v>1</v>
      </c>
      <c r="G11" s="4">
        <v>1</v>
      </c>
    </row>
    <row r="14" spans="1:11" x14ac:dyDescent="0.3">
      <c r="A14" s="36" t="s">
        <v>30</v>
      </c>
      <c r="B14" s="37"/>
      <c r="C14" s="37"/>
      <c r="D14" s="37"/>
      <c r="E14" s="37"/>
      <c r="F14" s="37"/>
      <c r="G14" s="37"/>
      <c r="H14" s="37"/>
      <c r="I14" s="37"/>
    </row>
    <row r="15" spans="1:11" x14ac:dyDescent="0.3">
      <c r="A15" s="33" t="s">
        <v>31</v>
      </c>
      <c r="B15" s="27"/>
      <c r="C15" s="27"/>
      <c r="D15" s="27"/>
      <c r="E15" s="27"/>
      <c r="F15" s="27"/>
      <c r="G15" s="27"/>
      <c r="H15" s="27"/>
      <c r="I15" s="27"/>
    </row>
    <row r="16" spans="1:11" ht="28.8" x14ac:dyDescent="0.3">
      <c r="A16" s="2" t="s">
        <v>7</v>
      </c>
      <c r="B16" s="7" t="s">
        <v>32</v>
      </c>
      <c r="C16" s="7" t="s">
        <v>33</v>
      </c>
    </row>
    <row r="17" spans="1:9" x14ac:dyDescent="0.3">
      <c r="A17" s="4" t="s">
        <v>10</v>
      </c>
      <c r="B17" s="8">
        <f t="shared" ref="B17:B22" si="0">(B6*C6*D6*E6*F6*G6)^(1/6)</f>
        <v>0.40114199161178782</v>
      </c>
      <c r="C17" s="8">
        <f t="shared" ref="C17:C22" si="1">B17/$B$23</f>
        <v>5.7825146253865992E-2</v>
      </c>
    </row>
    <row r="18" spans="1:9" x14ac:dyDescent="0.3">
      <c r="A18" s="4" t="s">
        <v>12</v>
      </c>
      <c r="B18" s="8">
        <f t="shared" si="0"/>
        <v>0.74183637559040239</v>
      </c>
      <c r="C18" s="8">
        <f t="shared" si="1"/>
        <v>0.10693669027915434</v>
      </c>
    </row>
    <row r="19" spans="1:9" x14ac:dyDescent="0.3">
      <c r="A19" s="4" t="s">
        <v>14</v>
      </c>
      <c r="B19" s="8">
        <f t="shared" si="0"/>
        <v>0.74183637559040239</v>
      </c>
      <c r="C19" s="8">
        <f t="shared" si="1"/>
        <v>0.10693669027915434</v>
      </c>
    </row>
    <row r="20" spans="1:9" x14ac:dyDescent="0.3">
      <c r="A20" s="4" t="s">
        <v>16</v>
      </c>
      <c r="B20" s="8">
        <f t="shared" si="0"/>
        <v>1.3480061545972777</v>
      </c>
      <c r="C20" s="8">
        <f t="shared" si="1"/>
        <v>0.19431686203556384</v>
      </c>
    </row>
    <row r="21" spans="1:9" x14ac:dyDescent="0.3">
      <c r="A21" s="4" t="s">
        <v>18</v>
      </c>
      <c r="B21" s="8">
        <f t="shared" si="0"/>
        <v>1.5874010519681994</v>
      </c>
      <c r="C21" s="8">
        <f t="shared" si="1"/>
        <v>0.22882595169052977</v>
      </c>
    </row>
    <row r="22" spans="1:9" x14ac:dyDescent="0.3">
      <c r="A22" s="4" t="s">
        <v>20</v>
      </c>
      <c r="B22" s="8">
        <f t="shared" si="0"/>
        <v>2.1169328630254585</v>
      </c>
      <c r="C22" s="8">
        <f t="shared" si="1"/>
        <v>0.30515865946173171</v>
      </c>
    </row>
    <row r="23" spans="1:9" x14ac:dyDescent="0.3">
      <c r="A23" s="5" t="s">
        <v>34</v>
      </c>
      <c r="B23" s="9">
        <f>SUM(B17:B22)</f>
        <v>6.937154812383528</v>
      </c>
      <c r="C23" s="10">
        <f>SUM(C17:C22)</f>
        <v>1</v>
      </c>
    </row>
    <row r="25" spans="1:9" x14ac:dyDescent="0.3">
      <c r="A25" s="34" t="s">
        <v>35</v>
      </c>
      <c r="B25" s="35"/>
      <c r="C25" s="35"/>
      <c r="D25" s="35"/>
      <c r="E25" s="35"/>
      <c r="F25" s="35"/>
      <c r="G25" s="35"/>
      <c r="H25" s="35"/>
      <c r="I25" s="35"/>
    </row>
    <row r="26" spans="1:9" x14ac:dyDescent="0.3">
      <c r="A26" s="43" t="s">
        <v>36</v>
      </c>
      <c r="B26" s="27"/>
      <c r="C26" s="27"/>
      <c r="D26" s="27"/>
      <c r="E26" s="27"/>
      <c r="F26" s="27"/>
      <c r="G26" s="27"/>
      <c r="H26" s="27"/>
      <c r="I26" s="27"/>
    </row>
    <row r="27" spans="1:9" x14ac:dyDescent="0.3">
      <c r="A27" s="2" t="s">
        <v>7</v>
      </c>
      <c r="B27" s="11" t="s">
        <v>37</v>
      </c>
      <c r="C27" s="11" t="s">
        <v>38</v>
      </c>
    </row>
    <row r="28" spans="1:9" x14ac:dyDescent="0.3">
      <c r="A28" s="4" t="s">
        <v>10</v>
      </c>
      <c r="B28" s="12">
        <f t="shared" ref="B28:B33" si="2">B6*$C$17+C6*$C$18+D6*$C$19+E6*$C$20+F6*$C$21+G6*$C$22</f>
        <v>0.3477723436931871</v>
      </c>
      <c r="C28" s="12">
        <f>B28/$C$17</f>
        <v>6.014206037048047</v>
      </c>
    </row>
    <row r="29" spans="1:9" x14ac:dyDescent="0.3">
      <c r="A29" s="4" t="s">
        <v>12</v>
      </c>
      <c r="B29" s="12">
        <f t="shared" si="2"/>
        <v>0.64281463308299802</v>
      </c>
      <c r="C29" s="12">
        <f>B29/$C$18</f>
        <v>6.011170080212449</v>
      </c>
    </row>
    <row r="30" spans="1:9" x14ac:dyDescent="0.3">
      <c r="A30" s="4" t="s">
        <v>14</v>
      </c>
      <c r="B30" s="12">
        <f t="shared" si="2"/>
        <v>0.64281463308299802</v>
      </c>
      <c r="C30" s="12">
        <f>B30/$C$19</f>
        <v>6.011170080212449</v>
      </c>
    </row>
    <row r="31" spans="1:9" x14ac:dyDescent="0.3">
      <c r="A31" s="4" t="s">
        <v>16</v>
      </c>
      <c r="B31" s="12">
        <f t="shared" si="2"/>
        <v>1.1769443433351747</v>
      </c>
      <c r="C31" s="12">
        <f>B31/$C$20</f>
        <v>6.0568307402976203</v>
      </c>
    </row>
    <row r="32" spans="1:9" x14ac:dyDescent="0.3">
      <c r="A32" s="4" t="s">
        <v>18</v>
      </c>
      <c r="B32" s="12">
        <f t="shared" si="2"/>
        <v>1.3873488193199066</v>
      </c>
      <c r="C32" s="12">
        <f>B32/$C$21</f>
        <v>6.0628998112774974</v>
      </c>
    </row>
    <row r="33" spans="1:4" x14ac:dyDescent="0.3">
      <c r="A33" s="4" t="s">
        <v>20</v>
      </c>
      <c r="B33" s="12">
        <f t="shared" si="2"/>
        <v>1.8533642081676451</v>
      </c>
      <c r="C33" s="12">
        <f>B33/$C$22</f>
        <v>6.0734445859632098</v>
      </c>
    </row>
    <row r="35" spans="1:4" x14ac:dyDescent="0.3">
      <c r="A35" s="13" t="s">
        <v>39</v>
      </c>
      <c r="B35" s="9">
        <f>AVERAGE(C28:C33)</f>
        <v>6.0382868891685453</v>
      </c>
    </row>
    <row r="36" spans="1:4" x14ac:dyDescent="0.3">
      <c r="A36" s="13" t="s">
        <v>40</v>
      </c>
      <c r="B36" s="12">
        <f>(B35-6)/(6-1)</f>
        <v>7.6573778337090557E-3</v>
      </c>
    </row>
    <row r="37" spans="1:4" x14ac:dyDescent="0.3">
      <c r="A37" s="13" t="s">
        <v>41</v>
      </c>
      <c r="B37" s="5">
        <v>1.24</v>
      </c>
    </row>
    <row r="38" spans="1:4" x14ac:dyDescent="0.3">
      <c r="A38" s="13" t="s">
        <v>42</v>
      </c>
      <c r="B38" s="9">
        <f>B36/B37</f>
        <v>6.1753047046040769E-3</v>
      </c>
    </row>
    <row r="39" spans="1:4" x14ac:dyDescent="0.3">
      <c r="A39" s="13" t="s">
        <v>43</v>
      </c>
      <c r="B39" s="40" t="str">
        <f>IF(B38&lt;=0.1,"KONSISTEN (CR &lt;= 0.1)","TIDAK KONSISTEN")</f>
        <v>KONSISTEN (CR &lt;= 0.1)</v>
      </c>
      <c r="C39" s="30"/>
      <c r="D39" s="31"/>
    </row>
  </sheetData>
  <mergeCells count="8">
    <mergeCell ref="A1:K1"/>
    <mergeCell ref="A26:I26"/>
    <mergeCell ref="A15:I15"/>
    <mergeCell ref="A25:I25"/>
    <mergeCell ref="A14:I14"/>
    <mergeCell ref="A3:I3"/>
    <mergeCell ref="B39:D39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7"/>
  <sheetViews>
    <sheetView workbookViewId="0">
      <selection sqref="A1:U1"/>
    </sheetView>
  </sheetViews>
  <sheetFormatPr defaultRowHeight="14.4" x14ac:dyDescent="0.3"/>
  <cols>
    <col min="1" max="1" width="25" customWidth="1"/>
    <col min="2" max="24" width="10" customWidth="1"/>
  </cols>
  <sheetData>
    <row r="1" spans="1:21" ht="21" x14ac:dyDescent="0.4">
      <c r="A1" s="42" t="s">
        <v>44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3" spans="1:21" ht="15.6" x14ac:dyDescent="0.3">
      <c r="A3" s="54" t="s">
        <v>45</v>
      </c>
      <c r="B3" s="27"/>
      <c r="C3" s="27"/>
      <c r="D3" s="27"/>
      <c r="E3" s="27"/>
    </row>
    <row r="4" spans="1:21" ht="43.2" x14ac:dyDescent="0.3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</row>
    <row r="5" spans="1:21" ht="27.6" x14ac:dyDescent="0.3">
      <c r="A5" s="5">
        <v>1</v>
      </c>
      <c r="B5" s="5">
        <v>1</v>
      </c>
      <c r="C5" s="5">
        <v>1</v>
      </c>
      <c r="D5" s="5">
        <v>1</v>
      </c>
      <c r="E5" s="5" t="s">
        <v>51</v>
      </c>
    </row>
    <row r="6" spans="1:21" ht="27.6" x14ac:dyDescent="0.3">
      <c r="A6" s="5">
        <v>2</v>
      </c>
      <c r="B6" s="5">
        <v>0.5</v>
      </c>
      <c r="C6" s="5">
        <v>1</v>
      </c>
      <c r="D6" s="5">
        <v>1.5</v>
      </c>
      <c r="E6" s="5" t="s">
        <v>52</v>
      </c>
    </row>
    <row r="7" spans="1:21" ht="27.6" x14ac:dyDescent="0.3">
      <c r="A7" s="5">
        <v>3</v>
      </c>
      <c r="B7" s="5">
        <v>1</v>
      </c>
      <c r="C7" s="5">
        <v>1.5</v>
      </c>
      <c r="D7" s="5">
        <v>2</v>
      </c>
      <c r="E7" s="5" t="s">
        <v>53</v>
      </c>
    </row>
    <row r="8" spans="1:21" ht="27.6" x14ac:dyDescent="0.3">
      <c r="A8" s="5">
        <v>4</v>
      </c>
      <c r="B8" s="5">
        <v>1.5</v>
      </c>
      <c r="C8" s="5">
        <v>2</v>
      </c>
      <c r="D8" s="5">
        <v>2.5</v>
      </c>
      <c r="E8" s="5" t="s">
        <v>54</v>
      </c>
    </row>
    <row r="9" spans="1:21" ht="27.6" x14ac:dyDescent="0.3">
      <c r="A9" s="5">
        <v>5</v>
      </c>
      <c r="B9" s="5">
        <v>2</v>
      </c>
      <c r="C9" s="5">
        <v>2.5</v>
      </c>
      <c r="D9" s="5">
        <v>3</v>
      </c>
      <c r="E9" s="5" t="s">
        <v>55</v>
      </c>
    </row>
    <row r="10" spans="1:21" ht="27.6" x14ac:dyDescent="0.3">
      <c r="A10" s="5">
        <v>6</v>
      </c>
      <c r="B10" s="5">
        <v>2.5</v>
      </c>
      <c r="C10" s="5">
        <v>3</v>
      </c>
      <c r="D10" s="5">
        <v>3.5</v>
      </c>
      <c r="E10" s="5" t="s">
        <v>56</v>
      </c>
    </row>
    <row r="11" spans="1:21" ht="27.6" x14ac:dyDescent="0.3">
      <c r="A11" s="5">
        <v>7</v>
      </c>
      <c r="B11" s="5">
        <v>3</v>
      </c>
      <c r="C11" s="5">
        <v>3.5</v>
      </c>
      <c r="D11" s="5">
        <v>4</v>
      </c>
      <c r="E11" s="5" t="s">
        <v>57</v>
      </c>
    </row>
    <row r="12" spans="1:21" ht="27.6" x14ac:dyDescent="0.3">
      <c r="A12" s="5">
        <v>8</v>
      </c>
      <c r="B12" s="5">
        <v>3.5</v>
      </c>
      <c r="C12" s="5">
        <v>4</v>
      </c>
      <c r="D12" s="5">
        <v>4.5</v>
      </c>
      <c r="E12" s="5" t="s">
        <v>58</v>
      </c>
    </row>
    <row r="13" spans="1:21" ht="27.6" x14ac:dyDescent="0.3">
      <c r="A13" s="5">
        <v>9</v>
      </c>
      <c r="B13" s="5">
        <v>4</v>
      </c>
      <c r="C13" s="5">
        <v>4.5</v>
      </c>
      <c r="D13" s="5">
        <v>4.5</v>
      </c>
      <c r="E13" s="5" t="s">
        <v>59</v>
      </c>
    </row>
    <row r="15" spans="1:21" x14ac:dyDescent="0.3">
      <c r="A15" s="52" t="s">
        <v>60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spans="1:21" x14ac:dyDescent="0.3">
      <c r="A16" s="41" t="s">
        <v>61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19" x14ac:dyDescent="0.3">
      <c r="A17" s="14"/>
      <c r="B17" s="48" t="s">
        <v>9</v>
      </c>
      <c r="C17" s="27"/>
      <c r="D17" s="27"/>
      <c r="E17" s="48" t="s">
        <v>11</v>
      </c>
      <c r="F17" s="27"/>
      <c r="G17" s="27"/>
      <c r="H17" s="48" t="s">
        <v>13</v>
      </c>
      <c r="I17" s="27"/>
      <c r="J17" s="27"/>
      <c r="K17" s="48" t="s">
        <v>15</v>
      </c>
      <c r="L17" s="27"/>
      <c r="M17" s="27"/>
      <c r="N17" s="48" t="s">
        <v>17</v>
      </c>
      <c r="O17" s="27"/>
      <c r="P17" s="27"/>
      <c r="Q17" s="48" t="s">
        <v>19</v>
      </c>
      <c r="R17" s="27"/>
      <c r="S17" s="27"/>
    </row>
    <row r="18" spans="1:19" x14ac:dyDescent="0.3">
      <c r="A18" s="14" t="s">
        <v>7</v>
      </c>
      <c r="B18" s="15" t="s">
        <v>47</v>
      </c>
      <c r="C18" s="15" t="s">
        <v>48</v>
      </c>
      <c r="D18" s="15" t="s">
        <v>49</v>
      </c>
      <c r="E18" s="15" t="s">
        <v>47</v>
      </c>
      <c r="F18" s="15" t="s">
        <v>48</v>
      </c>
      <c r="G18" s="15" t="s">
        <v>49</v>
      </c>
      <c r="H18" s="15" t="s">
        <v>47</v>
      </c>
      <c r="I18" s="15" t="s">
        <v>48</v>
      </c>
      <c r="J18" s="15" t="s">
        <v>49</v>
      </c>
      <c r="K18" s="15" t="s">
        <v>47</v>
      </c>
      <c r="L18" s="15" t="s">
        <v>48</v>
      </c>
      <c r="M18" s="15" t="s">
        <v>49</v>
      </c>
      <c r="N18" s="15" t="s">
        <v>47</v>
      </c>
      <c r="O18" s="15" t="s">
        <v>48</v>
      </c>
      <c r="P18" s="15" t="s">
        <v>49</v>
      </c>
      <c r="Q18" s="15" t="s">
        <v>47</v>
      </c>
      <c r="R18" s="15" t="s">
        <v>48</v>
      </c>
      <c r="S18" s="15" t="s">
        <v>49</v>
      </c>
    </row>
    <row r="19" spans="1:19" x14ac:dyDescent="0.3">
      <c r="A19" s="4" t="s">
        <v>9</v>
      </c>
      <c r="B19" s="6">
        <v>1</v>
      </c>
      <c r="C19" s="6">
        <v>1</v>
      </c>
      <c r="D19" s="6">
        <v>1</v>
      </c>
      <c r="E19" s="6">
        <f>IF(ROUND('1-3. Crisp &amp; Konsistensi'!C6,0)&gt;=1,INDEX($B$5:$B$13,ROUND('1-3. Crisp &amp; Konsistensi'!C6,0)),1/INDEX($D$5:$D$13,ROUND(1/'1-3. Crisp &amp; Konsistensi'!C6,0)))</f>
        <v>1</v>
      </c>
      <c r="F19" s="6">
        <f>IF(ROUND('1-3. Crisp &amp; Konsistensi'!C6,0)&gt;=1,INDEX($C$5:$C$13,ROUND('1-3. Crisp &amp; Konsistensi'!C6,0)),1/INDEX($C$5:$C$13,ROUND(1/'1-3. Crisp &amp; Konsistensi'!C6,0)))</f>
        <v>1</v>
      </c>
      <c r="G19" s="6">
        <f>IF(ROUND('1-3. Crisp &amp; Konsistensi'!C6,0)&gt;=1,INDEX($D$5:$D$13,ROUND('1-3. Crisp &amp; Konsistensi'!C6,0)),1/INDEX($B$5:$B$13,ROUND(1/'1-3. Crisp &amp; Konsistensi'!C6,0)))</f>
        <v>1</v>
      </c>
      <c r="H19" s="6">
        <f>IF(ROUND('1-3. Crisp &amp; Konsistensi'!D6,0)&gt;=1,INDEX($B$5:$B$13,ROUND('1-3. Crisp &amp; Konsistensi'!D6,0)),1/INDEX($D$5:$D$13,ROUND(1/'1-3. Crisp &amp; Konsistensi'!D6,0)))</f>
        <v>1</v>
      </c>
      <c r="I19" s="6">
        <f>IF(ROUND('1-3. Crisp &amp; Konsistensi'!D6,0)&gt;=1,INDEX($C$5:$C$13,ROUND('1-3. Crisp &amp; Konsistensi'!D6,0)),1/INDEX($C$5:$C$13,ROUND(1/'1-3. Crisp &amp; Konsistensi'!D6,0)))</f>
        <v>1</v>
      </c>
      <c r="J19" s="6">
        <f>IF(ROUND('1-3. Crisp &amp; Konsistensi'!D6,0)&gt;=1,INDEX($D$5:$D$13,ROUND('1-3. Crisp &amp; Konsistensi'!D6,0)),1/INDEX($B$5:$B$13,ROUND(1/'1-3. Crisp &amp; Konsistensi'!D6,0)))</f>
        <v>1</v>
      </c>
      <c r="K19" s="6">
        <f>IF(ROUND('1-3. Crisp &amp; Konsistensi'!E6,0)&gt;=1,INDEX($B$5:$B$13,ROUND('1-3. Crisp &amp; Konsistensi'!E6,0)),1/INDEX($D$5:$D$13,ROUND(1/'1-3. Crisp &amp; Konsistensi'!E6,0)))</f>
        <v>0.5</v>
      </c>
      <c r="L19" s="6">
        <f>IF(ROUND('1-3. Crisp &amp; Konsistensi'!E6,0)&gt;=1,INDEX($C$5:$C$13,ROUND('1-3. Crisp &amp; Konsistensi'!E6,0)),1/INDEX($C$5:$C$13,ROUND(1/'1-3. Crisp &amp; Konsistensi'!E6,0)))</f>
        <v>0.66666666666666663</v>
      </c>
      <c r="M19" s="6">
        <f>IF(ROUND('1-3. Crisp &amp; Konsistensi'!E6,0)&gt;=1,INDEX($D$5:$D$13,ROUND('1-3. Crisp &amp; Konsistensi'!E6,0)),1/INDEX($B$5:$B$13,ROUND(1/'1-3. Crisp &amp; Konsistensi'!E6,0)))</f>
        <v>1</v>
      </c>
      <c r="N19" s="6">
        <f>IF(ROUND('1-3. Crisp &amp; Konsistensi'!F6,0)&gt;=1,INDEX($B$5:$B$13,ROUND('1-3. Crisp &amp; Konsistensi'!F6,0)),1/INDEX($D$5:$D$13,ROUND(1/'1-3. Crisp &amp; Konsistensi'!F6,0)))</f>
        <v>0.4</v>
      </c>
      <c r="O19" s="6">
        <f>IF(ROUND('1-3. Crisp &amp; Konsistensi'!F6,0)&gt;=1,INDEX($C$5:$C$13,ROUND('1-3. Crisp &amp; Konsistensi'!F6,0)),1/INDEX($C$5:$C$13,ROUND(1/'1-3. Crisp &amp; Konsistensi'!F6,0)))</f>
        <v>0.5</v>
      </c>
      <c r="P19" s="6">
        <f>IF(ROUND('1-3. Crisp &amp; Konsistensi'!F6,0)&gt;=1,INDEX($D$5:$D$13,ROUND('1-3. Crisp &amp; Konsistensi'!F6,0)),1/INDEX($B$5:$B$13,ROUND(1/'1-3. Crisp &amp; Konsistensi'!F6,0)))</f>
        <v>0.66666666666666663</v>
      </c>
      <c r="Q19" s="6">
        <f>IF(ROUND('1-3. Crisp &amp; Konsistensi'!G6,0)&gt;=1,INDEX($B$5:$B$13,ROUND('1-3. Crisp &amp; Konsistensi'!G6,0)),1/INDEX($D$5:$D$13,ROUND(1/'1-3. Crisp &amp; Konsistensi'!G6,0)))</f>
        <v>0.33333333333333331</v>
      </c>
      <c r="R19" s="6">
        <f>IF(ROUND('1-3. Crisp &amp; Konsistensi'!G6,0)&gt;=1,INDEX($C$5:$C$13,ROUND('1-3. Crisp &amp; Konsistensi'!G6,0)),1/INDEX($C$5:$C$13,ROUND(1/'1-3. Crisp &amp; Konsistensi'!G6,0)))</f>
        <v>0.4</v>
      </c>
      <c r="S19" s="6">
        <f>IF(ROUND('1-3. Crisp &amp; Konsistensi'!G6,0)&gt;=1,INDEX($D$5:$D$13,ROUND('1-3. Crisp &amp; Konsistensi'!G6,0)),1/INDEX($B$5:$B$13,ROUND(1/'1-3. Crisp &amp; Konsistensi'!G6,0)))</f>
        <v>0.5</v>
      </c>
    </row>
    <row r="20" spans="1:19" x14ac:dyDescent="0.3">
      <c r="A20" s="4" t="s">
        <v>11</v>
      </c>
      <c r="B20" s="16">
        <f>1/IF(ROUND('1-3. Crisp &amp; Konsistensi'!C6,0)&gt;=1,INDEX($D$5:$D$13,ROUND('1-3. Crisp &amp; Konsistensi'!C6,0)),1/INDEX($B$5:$B$13,ROUND(1/'1-3. Crisp &amp; Konsistensi'!C6,0)))</f>
        <v>1</v>
      </c>
      <c r="C20" s="16">
        <f>1/IF(ROUND('1-3. Crisp &amp; Konsistensi'!C6,0)&gt;=1,INDEX($C$5:$C$13,ROUND('1-3. Crisp &amp; Konsistensi'!C6,0)),1/INDEX($C$5:$C$13,ROUND(1/'1-3. Crisp &amp; Konsistensi'!C6,0)))</f>
        <v>1</v>
      </c>
      <c r="D20" s="16">
        <f>1/IF(ROUND('1-3. Crisp &amp; Konsistensi'!C6,0)&gt;=1,INDEX($B$5:$B$13,ROUND('1-3. Crisp &amp; Konsistensi'!C6,0)),1/INDEX($D$5:$D$13,ROUND(1/'1-3. Crisp &amp; Konsistensi'!C6,0)))</f>
        <v>1</v>
      </c>
      <c r="E20" s="6">
        <v>1</v>
      </c>
      <c r="F20" s="6">
        <v>1</v>
      </c>
      <c r="G20" s="6">
        <v>1</v>
      </c>
      <c r="H20" s="6">
        <f>IF(ROUND('1-3. Crisp &amp; Konsistensi'!D7,0)&gt;=1,INDEX($B$5:$B$13,ROUND('1-3. Crisp &amp; Konsistensi'!D7,0)),1/INDEX($D$5:$D$13,ROUND(1/'1-3. Crisp &amp; Konsistensi'!D7,0)))</f>
        <v>1</v>
      </c>
      <c r="I20" s="6">
        <f>IF(ROUND('1-3. Crisp &amp; Konsistensi'!D7,0)&gt;=1,INDEX($C$5:$C$13,ROUND('1-3. Crisp &amp; Konsistensi'!D7,0)),1/INDEX($C$5:$C$13,ROUND(1/'1-3. Crisp &amp; Konsistensi'!D7,0)))</f>
        <v>1</v>
      </c>
      <c r="J20" s="6">
        <f>IF(ROUND('1-3. Crisp &amp; Konsistensi'!D7,0)&gt;=1,INDEX($D$5:$D$13,ROUND('1-3. Crisp &amp; Konsistensi'!D7,0)),1/INDEX($B$5:$B$13,ROUND(1/'1-3. Crisp &amp; Konsistensi'!D7,0)))</f>
        <v>1</v>
      </c>
      <c r="K20" s="6">
        <f>IF(ROUND('1-3. Crisp &amp; Konsistensi'!E7,0)&gt;=1,INDEX($B$5:$B$13,ROUND('1-3. Crisp &amp; Konsistensi'!E7,0)),1/INDEX($D$5:$D$13,ROUND(1/'1-3. Crisp &amp; Konsistensi'!E7,0)))</f>
        <v>1</v>
      </c>
      <c r="L20" s="6">
        <f>IF(ROUND('1-3. Crisp &amp; Konsistensi'!E7,0)&gt;=1,INDEX($C$5:$C$13,ROUND('1-3. Crisp &amp; Konsistensi'!E7,0)),1/INDEX($C$5:$C$13,ROUND(1/'1-3. Crisp &amp; Konsistensi'!E7,0)))</f>
        <v>1</v>
      </c>
      <c r="M20" s="6">
        <f>IF(ROUND('1-3. Crisp &amp; Konsistensi'!E7,0)&gt;=1,INDEX($D$5:$D$13,ROUND('1-3. Crisp &amp; Konsistensi'!E7,0)),1/INDEX($B$5:$B$13,ROUND(1/'1-3. Crisp &amp; Konsistensi'!E7,0)))</f>
        <v>1</v>
      </c>
      <c r="N20" s="6">
        <f>IF(ROUND('1-3. Crisp &amp; Konsistensi'!F7,0)&gt;=1,INDEX($B$5:$B$13,ROUND('1-3. Crisp &amp; Konsistensi'!F7,0)),1/INDEX($D$5:$D$13,ROUND(1/'1-3. Crisp &amp; Konsistensi'!F7,0)))</f>
        <v>1</v>
      </c>
      <c r="O20" s="6">
        <f>IF(ROUND('1-3. Crisp &amp; Konsistensi'!F7,0)&gt;=1,INDEX($C$5:$C$13,ROUND('1-3. Crisp &amp; Konsistensi'!F7,0)),1/INDEX($C$5:$C$13,ROUND(1/'1-3. Crisp &amp; Konsistensi'!F7,0)))</f>
        <v>1</v>
      </c>
      <c r="P20" s="6">
        <f>IF(ROUND('1-3. Crisp &amp; Konsistensi'!F7,0)&gt;=1,INDEX($D$5:$D$13,ROUND('1-3. Crisp &amp; Konsistensi'!F7,0)),1/INDEX($B$5:$B$13,ROUND(1/'1-3. Crisp &amp; Konsistensi'!F7,0)))</f>
        <v>1</v>
      </c>
      <c r="Q20" s="6">
        <f>IF(ROUND('1-3. Crisp &amp; Konsistensi'!G7,0)&gt;=1,INDEX($B$5:$B$13,ROUND('1-3. Crisp &amp; Konsistensi'!G7,0)),1/INDEX($D$5:$D$13,ROUND(1/'1-3. Crisp &amp; Konsistensi'!G7,0)))</f>
        <v>0.5</v>
      </c>
      <c r="R20" s="6">
        <f>IF(ROUND('1-3. Crisp &amp; Konsistensi'!G7,0)&gt;=1,INDEX($C$5:$C$13,ROUND('1-3. Crisp &amp; Konsistensi'!G7,0)),1/INDEX($C$5:$C$13,ROUND(1/'1-3. Crisp &amp; Konsistensi'!G7,0)))</f>
        <v>0.66666666666666663</v>
      </c>
      <c r="S20" s="6">
        <f>IF(ROUND('1-3. Crisp &amp; Konsistensi'!G7,0)&gt;=1,INDEX($D$5:$D$13,ROUND('1-3. Crisp &amp; Konsistensi'!G7,0)),1/INDEX($B$5:$B$13,ROUND(1/'1-3. Crisp &amp; Konsistensi'!G7,0)))</f>
        <v>1</v>
      </c>
    </row>
    <row r="21" spans="1:19" x14ac:dyDescent="0.3">
      <c r="A21" s="4" t="s">
        <v>13</v>
      </c>
      <c r="B21" s="16">
        <f>1/IF(ROUND('1-3. Crisp &amp; Konsistensi'!D6,0)&gt;=1,INDEX($D$5:$D$13,ROUND('1-3. Crisp &amp; Konsistensi'!D6,0)),1/INDEX($B$5:$B$13,ROUND(1/'1-3. Crisp &amp; Konsistensi'!D6,0)))</f>
        <v>1</v>
      </c>
      <c r="C21" s="16">
        <f>1/IF(ROUND('1-3. Crisp &amp; Konsistensi'!D6,0)&gt;=1,INDEX($C$5:$C$13,ROUND('1-3. Crisp &amp; Konsistensi'!D6,0)),1/INDEX($C$5:$C$13,ROUND(1/'1-3. Crisp &amp; Konsistensi'!D6,0)))</f>
        <v>1</v>
      </c>
      <c r="D21" s="16">
        <f>1/IF(ROUND('1-3. Crisp &amp; Konsistensi'!D6,0)&gt;=1,INDEX($B$5:$B$13,ROUND('1-3. Crisp &amp; Konsistensi'!D6,0)),1/INDEX($D$5:$D$13,ROUND(1/'1-3. Crisp &amp; Konsistensi'!D6,0)))</f>
        <v>1</v>
      </c>
      <c r="E21" s="16">
        <f>1/IF(ROUND('1-3. Crisp &amp; Konsistensi'!D7,0)&gt;=1,INDEX($D$5:$D$13,ROUND('1-3. Crisp &amp; Konsistensi'!D7,0)),1/INDEX($B$5:$B$13,ROUND(1/'1-3. Crisp &amp; Konsistensi'!D7,0)))</f>
        <v>1</v>
      </c>
      <c r="F21" s="16">
        <f>1/IF(ROUND('1-3. Crisp &amp; Konsistensi'!D7,0)&gt;=1,INDEX($C$5:$C$13,ROUND('1-3. Crisp &amp; Konsistensi'!D7,0)),1/INDEX($C$5:$C$13,ROUND(1/'1-3. Crisp &amp; Konsistensi'!D7,0)))</f>
        <v>1</v>
      </c>
      <c r="G21" s="16">
        <f>1/IF(ROUND('1-3. Crisp &amp; Konsistensi'!D7,0)&gt;=1,INDEX($B$5:$B$13,ROUND('1-3. Crisp &amp; Konsistensi'!D7,0)),1/INDEX($D$5:$D$13,ROUND(1/'1-3. Crisp &amp; Konsistensi'!D7,0)))</f>
        <v>1</v>
      </c>
      <c r="H21" s="6">
        <v>1</v>
      </c>
      <c r="I21" s="6">
        <v>1</v>
      </c>
      <c r="J21" s="6">
        <v>1</v>
      </c>
      <c r="K21" s="6">
        <f>IF(ROUND('1-3. Crisp &amp; Konsistensi'!E8,0)&gt;=1,INDEX($B$5:$B$13,ROUND('1-3. Crisp &amp; Konsistensi'!E8,0)),1/INDEX($D$5:$D$13,ROUND(1/'1-3. Crisp &amp; Konsistensi'!E8,0)))</f>
        <v>1</v>
      </c>
      <c r="L21" s="6">
        <f>IF(ROUND('1-3. Crisp &amp; Konsistensi'!E8,0)&gt;=1,INDEX($C$5:$C$13,ROUND('1-3. Crisp &amp; Konsistensi'!E8,0)),1/INDEX($C$5:$C$13,ROUND(1/'1-3. Crisp &amp; Konsistensi'!E8,0)))</f>
        <v>1</v>
      </c>
      <c r="M21" s="6">
        <f>IF(ROUND('1-3. Crisp &amp; Konsistensi'!E8,0)&gt;=1,INDEX($D$5:$D$13,ROUND('1-3. Crisp &amp; Konsistensi'!E8,0)),1/INDEX($B$5:$B$13,ROUND(1/'1-3. Crisp &amp; Konsistensi'!E8,0)))</f>
        <v>1</v>
      </c>
      <c r="N21" s="6">
        <f>IF(ROUND('1-3. Crisp &amp; Konsistensi'!F8,0)&gt;=1,INDEX($B$5:$B$13,ROUND('1-3. Crisp &amp; Konsistensi'!F8,0)),1/INDEX($D$5:$D$13,ROUND(1/'1-3. Crisp &amp; Konsistensi'!F8,0)))</f>
        <v>1</v>
      </c>
      <c r="O21" s="6">
        <f>IF(ROUND('1-3. Crisp &amp; Konsistensi'!F8,0)&gt;=1,INDEX($C$5:$C$13,ROUND('1-3. Crisp &amp; Konsistensi'!F8,0)),1/INDEX($C$5:$C$13,ROUND(1/'1-3. Crisp &amp; Konsistensi'!F8,0)))</f>
        <v>1</v>
      </c>
      <c r="P21" s="6">
        <f>IF(ROUND('1-3. Crisp &amp; Konsistensi'!F8,0)&gt;=1,INDEX($D$5:$D$13,ROUND('1-3. Crisp &amp; Konsistensi'!F8,0)),1/INDEX($B$5:$B$13,ROUND(1/'1-3. Crisp &amp; Konsistensi'!F8,0)))</f>
        <v>1</v>
      </c>
      <c r="Q21" s="6">
        <f>IF(ROUND('1-3. Crisp &amp; Konsistensi'!G8,0)&gt;=1,INDEX($B$5:$B$13,ROUND('1-3. Crisp &amp; Konsistensi'!G8,0)),1/INDEX($D$5:$D$13,ROUND(1/'1-3. Crisp &amp; Konsistensi'!G8,0)))</f>
        <v>0.5</v>
      </c>
      <c r="R21" s="6">
        <f>IF(ROUND('1-3. Crisp &amp; Konsistensi'!G8,0)&gt;=1,INDEX($C$5:$C$13,ROUND('1-3. Crisp &amp; Konsistensi'!G8,0)),1/INDEX($C$5:$C$13,ROUND(1/'1-3. Crisp &amp; Konsistensi'!G8,0)))</f>
        <v>0.66666666666666663</v>
      </c>
      <c r="S21" s="6">
        <f>IF(ROUND('1-3. Crisp &amp; Konsistensi'!G8,0)&gt;=1,INDEX($D$5:$D$13,ROUND('1-3. Crisp &amp; Konsistensi'!G8,0)),1/INDEX($B$5:$B$13,ROUND(1/'1-3. Crisp &amp; Konsistensi'!G8,0)))</f>
        <v>1</v>
      </c>
    </row>
    <row r="22" spans="1:19" x14ac:dyDescent="0.3">
      <c r="A22" s="4" t="s">
        <v>15</v>
      </c>
      <c r="B22" s="16">
        <f>1/IF(ROUND('1-3. Crisp &amp; Konsistensi'!E6,0)&gt;=1,INDEX($D$5:$D$13,ROUND('1-3. Crisp &amp; Konsistensi'!E6,0)),1/INDEX($B$5:$B$13,ROUND(1/'1-3. Crisp &amp; Konsistensi'!E6,0)))</f>
        <v>1</v>
      </c>
      <c r="C22" s="16">
        <f>1/IF(ROUND('1-3. Crisp &amp; Konsistensi'!E6,0)&gt;=1,INDEX($C$5:$C$13,ROUND('1-3. Crisp &amp; Konsistensi'!E6,0)),1/INDEX($C$5:$C$13,ROUND(1/'1-3. Crisp &amp; Konsistensi'!E6,0)))</f>
        <v>1.5</v>
      </c>
      <c r="D22" s="16">
        <f>1/IF(ROUND('1-3. Crisp &amp; Konsistensi'!E6,0)&gt;=1,INDEX($B$5:$B$13,ROUND('1-3. Crisp &amp; Konsistensi'!E6,0)),1/INDEX($D$5:$D$13,ROUND(1/'1-3. Crisp &amp; Konsistensi'!E6,0)))</f>
        <v>2</v>
      </c>
      <c r="E22" s="16">
        <f>1/IF(ROUND('1-3. Crisp &amp; Konsistensi'!E7,0)&gt;=1,INDEX($D$5:$D$13,ROUND('1-3. Crisp &amp; Konsistensi'!E7,0)),1/INDEX($B$5:$B$13,ROUND(1/'1-3. Crisp &amp; Konsistensi'!E7,0)))</f>
        <v>1</v>
      </c>
      <c r="F22" s="16">
        <f>1/IF(ROUND('1-3. Crisp &amp; Konsistensi'!E7,0)&gt;=1,INDEX($C$5:$C$13,ROUND('1-3. Crisp &amp; Konsistensi'!E7,0)),1/INDEX($C$5:$C$13,ROUND(1/'1-3. Crisp &amp; Konsistensi'!E7,0)))</f>
        <v>1</v>
      </c>
      <c r="G22" s="16">
        <f>1/IF(ROUND('1-3. Crisp &amp; Konsistensi'!E7,0)&gt;=1,INDEX($B$5:$B$13,ROUND('1-3. Crisp &amp; Konsistensi'!E7,0)),1/INDEX($D$5:$D$13,ROUND(1/'1-3. Crisp &amp; Konsistensi'!E7,0)))</f>
        <v>1</v>
      </c>
      <c r="H22" s="16">
        <f>1/IF(ROUND('1-3. Crisp &amp; Konsistensi'!E8,0)&gt;=1,INDEX($D$5:$D$13,ROUND('1-3. Crisp &amp; Konsistensi'!E8,0)),1/INDEX($B$5:$B$13,ROUND(1/'1-3. Crisp &amp; Konsistensi'!E8,0)))</f>
        <v>1</v>
      </c>
      <c r="I22" s="16">
        <f>1/IF(ROUND('1-3. Crisp &amp; Konsistensi'!E8,0)&gt;=1,INDEX($C$5:$C$13,ROUND('1-3. Crisp &amp; Konsistensi'!E8,0)),1/INDEX($C$5:$C$13,ROUND(1/'1-3. Crisp &amp; Konsistensi'!E8,0)))</f>
        <v>1</v>
      </c>
      <c r="J22" s="16">
        <f>1/IF(ROUND('1-3. Crisp &amp; Konsistensi'!E8,0)&gt;=1,INDEX($B$5:$B$13,ROUND('1-3. Crisp &amp; Konsistensi'!E8,0)),1/INDEX($D$5:$D$13,ROUND(1/'1-3. Crisp &amp; Konsistensi'!E8,0)))</f>
        <v>1</v>
      </c>
      <c r="K22" s="6">
        <v>1</v>
      </c>
      <c r="L22" s="6">
        <v>1</v>
      </c>
      <c r="M22" s="6">
        <v>1</v>
      </c>
      <c r="N22" s="6">
        <f>IF(ROUND('1-3. Crisp &amp; Konsistensi'!F9,0)&gt;=1,INDEX($B$5:$B$13,ROUND('1-3. Crisp &amp; Konsistensi'!F9,0)),1/INDEX($D$5:$D$13,ROUND(1/'1-3. Crisp &amp; Konsistensi'!F9,0)))</f>
        <v>1</v>
      </c>
      <c r="O22" s="6">
        <f>IF(ROUND('1-3. Crisp &amp; Konsistensi'!F9,0)&gt;=1,INDEX($C$5:$C$13,ROUND('1-3. Crisp &amp; Konsistensi'!F9,0)),1/INDEX($C$5:$C$13,ROUND(1/'1-3. Crisp &amp; Konsistensi'!F9,0)))</f>
        <v>1</v>
      </c>
      <c r="P22" s="6">
        <f>IF(ROUND('1-3. Crisp &amp; Konsistensi'!F9,0)&gt;=1,INDEX($D$5:$D$13,ROUND('1-3. Crisp &amp; Konsistensi'!F9,0)),1/INDEX($B$5:$B$13,ROUND(1/'1-3. Crisp &amp; Konsistensi'!F9,0)))</f>
        <v>1</v>
      </c>
      <c r="Q22" s="6">
        <f>IF(ROUND('1-3. Crisp &amp; Konsistensi'!G9,0)&gt;=1,INDEX($B$5:$B$13,ROUND('1-3. Crisp &amp; Konsistensi'!G9,0)),1/INDEX($D$5:$D$13,ROUND(1/'1-3. Crisp &amp; Konsistensi'!G9,0)))</f>
        <v>1</v>
      </c>
      <c r="R22" s="6">
        <f>IF(ROUND('1-3. Crisp &amp; Konsistensi'!G9,0)&gt;=1,INDEX($C$5:$C$13,ROUND('1-3. Crisp &amp; Konsistensi'!G9,0)),1/INDEX($C$5:$C$13,ROUND(1/'1-3. Crisp &amp; Konsistensi'!G9,0)))</f>
        <v>1</v>
      </c>
      <c r="S22" s="6">
        <f>IF(ROUND('1-3. Crisp &amp; Konsistensi'!G9,0)&gt;=1,INDEX($D$5:$D$13,ROUND('1-3. Crisp &amp; Konsistensi'!G9,0)),1/INDEX($B$5:$B$13,ROUND(1/'1-3. Crisp &amp; Konsistensi'!G9,0)))</f>
        <v>1</v>
      </c>
    </row>
    <row r="23" spans="1:19" x14ac:dyDescent="0.3">
      <c r="A23" s="4" t="s">
        <v>17</v>
      </c>
      <c r="B23" s="16">
        <f>1/IF(ROUND('1-3. Crisp &amp; Konsistensi'!F6,0)&gt;=1,INDEX($D$5:$D$13,ROUND('1-3. Crisp &amp; Konsistensi'!F6,0)),1/INDEX($B$5:$B$13,ROUND(1/'1-3. Crisp &amp; Konsistensi'!F6,0)))</f>
        <v>1.5</v>
      </c>
      <c r="C23" s="16">
        <f>1/IF(ROUND('1-3. Crisp &amp; Konsistensi'!F6,0)&gt;=1,INDEX($C$5:$C$13,ROUND('1-3. Crisp &amp; Konsistensi'!F6,0)),1/INDEX($C$5:$C$13,ROUND(1/'1-3. Crisp &amp; Konsistensi'!F6,0)))</f>
        <v>2</v>
      </c>
      <c r="D23" s="16">
        <f>1/IF(ROUND('1-3. Crisp &amp; Konsistensi'!F6,0)&gt;=1,INDEX($B$5:$B$13,ROUND('1-3. Crisp &amp; Konsistensi'!F6,0)),1/INDEX($D$5:$D$13,ROUND(1/'1-3. Crisp &amp; Konsistensi'!F6,0)))</f>
        <v>2.5</v>
      </c>
      <c r="E23" s="16">
        <f>1/IF(ROUND('1-3. Crisp &amp; Konsistensi'!F7,0)&gt;=1,INDEX($D$5:$D$13,ROUND('1-3. Crisp &amp; Konsistensi'!F7,0)),1/INDEX($B$5:$B$13,ROUND(1/'1-3. Crisp &amp; Konsistensi'!F7,0)))</f>
        <v>1</v>
      </c>
      <c r="F23" s="16">
        <f>1/IF(ROUND('1-3. Crisp &amp; Konsistensi'!F7,0)&gt;=1,INDEX($C$5:$C$13,ROUND('1-3. Crisp &amp; Konsistensi'!F7,0)),1/INDEX($C$5:$C$13,ROUND(1/'1-3. Crisp &amp; Konsistensi'!F7,0)))</f>
        <v>1</v>
      </c>
      <c r="G23" s="16">
        <f>1/IF(ROUND('1-3. Crisp &amp; Konsistensi'!F7,0)&gt;=1,INDEX($B$5:$B$13,ROUND('1-3. Crisp &amp; Konsistensi'!F7,0)),1/INDEX($D$5:$D$13,ROUND(1/'1-3. Crisp &amp; Konsistensi'!F7,0)))</f>
        <v>1</v>
      </c>
      <c r="H23" s="16">
        <f>1/IF(ROUND('1-3. Crisp &amp; Konsistensi'!F8,0)&gt;=1,INDEX($D$5:$D$13,ROUND('1-3. Crisp &amp; Konsistensi'!F8,0)),1/INDEX($B$5:$B$13,ROUND(1/'1-3. Crisp &amp; Konsistensi'!F8,0)))</f>
        <v>1</v>
      </c>
      <c r="I23" s="16">
        <f>1/IF(ROUND('1-3. Crisp &amp; Konsistensi'!F8,0)&gt;=1,INDEX($C$5:$C$13,ROUND('1-3. Crisp &amp; Konsistensi'!F8,0)),1/INDEX($C$5:$C$13,ROUND(1/'1-3. Crisp &amp; Konsistensi'!F8,0)))</f>
        <v>1</v>
      </c>
      <c r="J23" s="16">
        <f>1/IF(ROUND('1-3. Crisp &amp; Konsistensi'!F8,0)&gt;=1,INDEX($B$5:$B$13,ROUND('1-3. Crisp &amp; Konsistensi'!F8,0)),1/INDEX($D$5:$D$13,ROUND(1/'1-3. Crisp &amp; Konsistensi'!F8,0)))</f>
        <v>1</v>
      </c>
      <c r="K23" s="16">
        <f>1/IF(ROUND('1-3. Crisp &amp; Konsistensi'!F9,0)&gt;=1,INDEX($D$5:$D$13,ROUND('1-3. Crisp &amp; Konsistensi'!F9,0)),1/INDEX($B$5:$B$13,ROUND(1/'1-3. Crisp &amp; Konsistensi'!F9,0)))</f>
        <v>1</v>
      </c>
      <c r="L23" s="16">
        <f>1/IF(ROUND('1-3. Crisp &amp; Konsistensi'!F9,0)&gt;=1,INDEX($C$5:$C$13,ROUND('1-3. Crisp &amp; Konsistensi'!F9,0)),1/INDEX($C$5:$C$13,ROUND(1/'1-3. Crisp &amp; Konsistensi'!F9,0)))</f>
        <v>1</v>
      </c>
      <c r="M23" s="16">
        <f>1/IF(ROUND('1-3. Crisp &amp; Konsistensi'!F9,0)&gt;=1,INDEX($B$5:$B$13,ROUND('1-3. Crisp &amp; Konsistensi'!F9,0)),1/INDEX($D$5:$D$13,ROUND(1/'1-3. Crisp &amp; Konsistensi'!F9,0)))</f>
        <v>1</v>
      </c>
      <c r="N23" s="6">
        <v>1</v>
      </c>
      <c r="O23" s="6">
        <v>1</v>
      </c>
      <c r="P23" s="6">
        <v>1</v>
      </c>
      <c r="Q23" s="6">
        <f>IF(ROUND('1-3. Crisp &amp; Konsistensi'!G10,0)&gt;=1,INDEX($B$5:$B$13,ROUND('1-3. Crisp &amp; Konsistensi'!G10,0)),1/INDEX($D$5:$D$13,ROUND(1/'1-3. Crisp &amp; Konsistensi'!G10,0)))</f>
        <v>1</v>
      </c>
      <c r="R23" s="6">
        <f>IF(ROUND('1-3. Crisp &amp; Konsistensi'!G10,0)&gt;=1,INDEX($C$5:$C$13,ROUND('1-3. Crisp &amp; Konsistensi'!G10,0)),1/INDEX($C$5:$C$13,ROUND(1/'1-3. Crisp &amp; Konsistensi'!G10,0)))</f>
        <v>1</v>
      </c>
      <c r="S23" s="6">
        <f>IF(ROUND('1-3. Crisp &amp; Konsistensi'!G10,0)&gt;=1,INDEX($D$5:$D$13,ROUND('1-3. Crisp &amp; Konsistensi'!G10,0)),1/INDEX($B$5:$B$13,ROUND(1/'1-3. Crisp &amp; Konsistensi'!G10,0)))</f>
        <v>1</v>
      </c>
    </row>
    <row r="24" spans="1:19" x14ac:dyDescent="0.3">
      <c r="A24" s="4" t="s">
        <v>19</v>
      </c>
      <c r="B24" s="16">
        <f>1/IF(ROUND('1-3. Crisp &amp; Konsistensi'!G6,0)&gt;=1,INDEX($D$5:$D$13,ROUND('1-3. Crisp &amp; Konsistensi'!G6,0)),1/INDEX($B$5:$B$13,ROUND(1/'1-3. Crisp &amp; Konsistensi'!G6,0)))</f>
        <v>2</v>
      </c>
      <c r="C24" s="16">
        <f>1/IF(ROUND('1-3. Crisp &amp; Konsistensi'!G6,0)&gt;=1,INDEX($C$5:$C$13,ROUND('1-3. Crisp &amp; Konsistensi'!G6,0)),1/INDEX($C$5:$C$13,ROUND(1/'1-3. Crisp &amp; Konsistensi'!G6,0)))</f>
        <v>2.5</v>
      </c>
      <c r="D24" s="16">
        <f>1/IF(ROUND('1-3. Crisp &amp; Konsistensi'!G6,0)&gt;=1,INDEX($B$5:$B$13,ROUND('1-3. Crisp &amp; Konsistensi'!G6,0)),1/INDEX($D$5:$D$13,ROUND(1/'1-3. Crisp &amp; Konsistensi'!G6,0)))</f>
        <v>3</v>
      </c>
      <c r="E24" s="16">
        <f>1/IF(ROUND('1-3. Crisp &amp; Konsistensi'!G7,0)&gt;=1,INDEX($D$5:$D$13,ROUND('1-3. Crisp &amp; Konsistensi'!G7,0)),1/INDEX($B$5:$B$13,ROUND(1/'1-3. Crisp &amp; Konsistensi'!G7,0)))</f>
        <v>1</v>
      </c>
      <c r="F24" s="16">
        <f>1/IF(ROUND('1-3. Crisp &amp; Konsistensi'!G7,0)&gt;=1,INDEX($C$5:$C$13,ROUND('1-3. Crisp &amp; Konsistensi'!G7,0)),1/INDEX($C$5:$C$13,ROUND(1/'1-3. Crisp &amp; Konsistensi'!G7,0)))</f>
        <v>1.5</v>
      </c>
      <c r="G24" s="16">
        <f>1/IF(ROUND('1-3. Crisp &amp; Konsistensi'!G7,0)&gt;=1,INDEX($B$5:$B$13,ROUND('1-3. Crisp &amp; Konsistensi'!G7,0)),1/INDEX($D$5:$D$13,ROUND(1/'1-3. Crisp &amp; Konsistensi'!G7,0)))</f>
        <v>2</v>
      </c>
      <c r="H24" s="16">
        <f>1/IF(ROUND('1-3. Crisp &amp; Konsistensi'!G8,0)&gt;=1,INDEX($D$5:$D$13,ROUND('1-3. Crisp &amp; Konsistensi'!G8,0)),1/INDEX($B$5:$B$13,ROUND(1/'1-3. Crisp &amp; Konsistensi'!G8,0)))</f>
        <v>1</v>
      </c>
      <c r="I24" s="16">
        <f>1/IF(ROUND('1-3. Crisp &amp; Konsistensi'!G8,0)&gt;=1,INDEX($C$5:$C$13,ROUND('1-3. Crisp &amp; Konsistensi'!G8,0)),1/INDEX($C$5:$C$13,ROUND(1/'1-3. Crisp &amp; Konsistensi'!G8,0)))</f>
        <v>1.5</v>
      </c>
      <c r="J24" s="16">
        <f>1/IF(ROUND('1-3. Crisp &amp; Konsistensi'!G8,0)&gt;=1,INDEX($B$5:$B$13,ROUND('1-3. Crisp &amp; Konsistensi'!G8,0)),1/INDEX($D$5:$D$13,ROUND(1/'1-3. Crisp &amp; Konsistensi'!G8,0)))</f>
        <v>2</v>
      </c>
      <c r="K24" s="16">
        <f>1/IF(ROUND('1-3. Crisp &amp; Konsistensi'!G9,0)&gt;=1,INDEX($D$5:$D$13,ROUND('1-3. Crisp &amp; Konsistensi'!G9,0)),1/INDEX($B$5:$B$13,ROUND(1/'1-3. Crisp &amp; Konsistensi'!G9,0)))</f>
        <v>1</v>
      </c>
      <c r="L24" s="16">
        <f>1/IF(ROUND('1-3. Crisp &amp; Konsistensi'!G9,0)&gt;=1,INDEX($C$5:$C$13,ROUND('1-3. Crisp &amp; Konsistensi'!G9,0)),1/INDEX($C$5:$C$13,ROUND(1/'1-3. Crisp &amp; Konsistensi'!G9,0)))</f>
        <v>1</v>
      </c>
      <c r="M24" s="16">
        <f>1/IF(ROUND('1-3. Crisp &amp; Konsistensi'!G9,0)&gt;=1,INDEX($B$5:$B$13,ROUND('1-3. Crisp &amp; Konsistensi'!G9,0)),1/INDEX($D$5:$D$13,ROUND(1/'1-3. Crisp &amp; Konsistensi'!G9,0)))</f>
        <v>1</v>
      </c>
      <c r="N24" s="16">
        <f>1/IF(ROUND('1-3. Crisp &amp; Konsistensi'!G10,0)&gt;=1,INDEX($D$5:$D$13,ROUND('1-3. Crisp &amp; Konsistensi'!G10,0)),1/INDEX($B$5:$B$13,ROUND(1/'1-3. Crisp &amp; Konsistensi'!G10,0)))</f>
        <v>1</v>
      </c>
      <c r="O24" s="16">
        <f>1/IF(ROUND('1-3. Crisp &amp; Konsistensi'!G10,0)&gt;=1,INDEX($C$5:$C$13,ROUND('1-3. Crisp &amp; Konsistensi'!G10,0)),1/INDEX($C$5:$C$13,ROUND(1/'1-3. Crisp &amp; Konsistensi'!G10,0)))</f>
        <v>1</v>
      </c>
      <c r="P24" s="16">
        <f>1/IF(ROUND('1-3. Crisp &amp; Konsistensi'!G10,0)&gt;=1,INDEX($B$5:$B$13,ROUND('1-3. Crisp &amp; Konsistensi'!G10,0)),1/INDEX($D$5:$D$13,ROUND(1/'1-3. Crisp &amp; Konsistensi'!G10,0)))</f>
        <v>1</v>
      </c>
      <c r="Q24" s="6">
        <v>1</v>
      </c>
      <c r="R24" s="6">
        <v>1</v>
      </c>
      <c r="S24" s="6">
        <v>1</v>
      </c>
    </row>
    <row r="27" spans="1:19" x14ac:dyDescent="0.3">
      <c r="A27" s="45" t="s">
        <v>62</v>
      </c>
      <c r="B27" s="46"/>
      <c r="C27" s="46"/>
      <c r="D27" s="46"/>
      <c r="E27" s="46"/>
      <c r="F27" s="46"/>
      <c r="G27" s="46"/>
    </row>
    <row r="28" spans="1:19" x14ac:dyDescent="0.3">
      <c r="A28" s="47" t="s">
        <v>63</v>
      </c>
      <c r="B28" s="27"/>
      <c r="C28" s="27"/>
      <c r="D28" s="27"/>
      <c r="E28" s="27"/>
      <c r="F28" s="27"/>
      <c r="G28" s="27"/>
    </row>
    <row r="29" spans="1:19" x14ac:dyDescent="0.3">
      <c r="A29" s="17" t="s">
        <v>7</v>
      </c>
      <c r="B29" s="17" t="s">
        <v>64</v>
      </c>
      <c r="C29" s="17" t="s">
        <v>65</v>
      </c>
      <c r="D29" s="17" t="s">
        <v>66</v>
      </c>
    </row>
    <row r="30" spans="1:19" x14ac:dyDescent="0.3">
      <c r="A30" s="4" t="s">
        <v>10</v>
      </c>
      <c r="B30" s="18">
        <f t="shared" ref="B30:D35" si="0">B19+E19+H19+K19+N19+Q19</f>
        <v>4.2333333333333334</v>
      </c>
      <c r="C30" s="18">
        <f t="shared" si="0"/>
        <v>4.5666666666666664</v>
      </c>
      <c r="D30" s="18">
        <f t="shared" si="0"/>
        <v>5.166666666666667</v>
      </c>
    </row>
    <row r="31" spans="1:19" x14ac:dyDescent="0.3">
      <c r="A31" s="4" t="s">
        <v>12</v>
      </c>
      <c r="B31" s="18">
        <f t="shared" si="0"/>
        <v>5.5</v>
      </c>
      <c r="C31" s="18">
        <f t="shared" si="0"/>
        <v>5.666666666666667</v>
      </c>
      <c r="D31" s="18">
        <f t="shared" si="0"/>
        <v>6</v>
      </c>
    </row>
    <row r="32" spans="1:19" x14ac:dyDescent="0.3">
      <c r="A32" s="4" t="s">
        <v>14</v>
      </c>
      <c r="B32" s="18">
        <f t="shared" si="0"/>
        <v>5.5</v>
      </c>
      <c r="C32" s="18">
        <f t="shared" si="0"/>
        <v>5.666666666666667</v>
      </c>
      <c r="D32" s="18">
        <f t="shared" si="0"/>
        <v>6</v>
      </c>
    </row>
    <row r="33" spans="1:7" x14ac:dyDescent="0.3">
      <c r="A33" s="4" t="s">
        <v>16</v>
      </c>
      <c r="B33" s="18">
        <f t="shared" si="0"/>
        <v>6</v>
      </c>
      <c r="C33" s="18">
        <f t="shared" si="0"/>
        <v>6.5</v>
      </c>
      <c r="D33" s="18">
        <f t="shared" si="0"/>
        <v>7</v>
      </c>
    </row>
    <row r="34" spans="1:7" x14ac:dyDescent="0.3">
      <c r="A34" s="4" t="s">
        <v>18</v>
      </c>
      <c r="B34" s="18">
        <f t="shared" si="0"/>
        <v>6.5</v>
      </c>
      <c r="C34" s="18">
        <f t="shared" si="0"/>
        <v>7</v>
      </c>
      <c r="D34" s="18">
        <f t="shared" si="0"/>
        <v>7.5</v>
      </c>
    </row>
    <row r="35" spans="1:7" x14ac:dyDescent="0.3">
      <c r="A35" s="4" t="s">
        <v>20</v>
      </c>
      <c r="B35" s="18">
        <f t="shared" si="0"/>
        <v>7</v>
      </c>
      <c r="C35" s="18">
        <f t="shared" si="0"/>
        <v>8.5</v>
      </c>
      <c r="D35" s="18">
        <f t="shared" si="0"/>
        <v>10</v>
      </c>
    </row>
    <row r="36" spans="1:7" x14ac:dyDescent="0.3">
      <c r="A36" s="10" t="s">
        <v>34</v>
      </c>
      <c r="B36" s="19">
        <f>SUM(B30:B35)</f>
        <v>34.733333333333334</v>
      </c>
      <c r="C36" s="19">
        <f>SUM(C30:C35)</f>
        <v>37.900000000000006</v>
      </c>
      <c r="D36" s="19">
        <f>SUM(D30:D35)</f>
        <v>41.666666666666671</v>
      </c>
    </row>
    <row r="38" spans="1:7" x14ac:dyDescent="0.3">
      <c r="A38" s="44" t="s">
        <v>67</v>
      </c>
      <c r="B38" s="27"/>
      <c r="C38" s="27"/>
      <c r="D38" s="27"/>
      <c r="E38" s="27"/>
    </row>
    <row r="39" spans="1:7" x14ac:dyDescent="0.3">
      <c r="A39" s="17" t="s">
        <v>7</v>
      </c>
      <c r="B39" s="17" t="s">
        <v>68</v>
      </c>
      <c r="C39" s="17" t="s">
        <v>69</v>
      </c>
      <c r="D39" s="17" t="s">
        <v>70</v>
      </c>
    </row>
    <row r="40" spans="1:7" x14ac:dyDescent="0.3">
      <c r="A40" s="4" t="s">
        <v>10</v>
      </c>
      <c r="B40" s="20">
        <f t="shared" ref="B40:B45" si="1">B30/$D$36</f>
        <v>0.1016</v>
      </c>
      <c r="C40" s="20">
        <f t="shared" ref="C40:C45" si="2">C30/$C$36</f>
        <v>0.12049252418645556</v>
      </c>
      <c r="D40" s="20">
        <f t="shared" ref="D40:D45" si="3">D30/$B$36</f>
        <v>0.14875239923224567</v>
      </c>
    </row>
    <row r="41" spans="1:7" x14ac:dyDescent="0.3">
      <c r="A41" s="4" t="s">
        <v>12</v>
      </c>
      <c r="B41" s="20">
        <f t="shared" si="1"/>
        <v>0.13199999999999998</v>
      </c>
      <c r="C41" s="20">
        <f t="shared" si="2"/>
        <v>0.14951627088830255</v>
      </c>
      <c r="D41" s="20">
        <f t="shared" si="3"/>
        <v>0.17274472168905949</v>
      </c>
    </row>
    <row r="42" spans="1:7" x14ac:dyDescent="0.3">
      <c r="A42" s="4" t="s">
        <v>14</v>
      </c>
      <c r="B42" s="20">
        <f t="shared" si="1"/>
        <v>0.13199999999999998</v>
      </c>
      <c r="C42" s="20">
        <f t="shared" si="2"/>
        <v>0.14951627088830255</v>
      </c>
      <c r="D42" s="20">
        <f t="shared" si="3"/>
        <v>0.17274472168905949</v>
      </c>
    </row>
    <row r="43" spans="1:7" x14ac:dyDescent="0.3">
      <c r="A43" s="4" t="s">
        <v>16</v>
      </c>
      <c r="B43" s="20">
        <f t="shared" si="1"/>
        <v>0.14399999999999999</v>
      </c>
      <c r="C43" s="20">
        <f t="shared" si="2"/>
        <v>0.17150395778364114</v>
      </c>
      <c r="D43" s="20">
        <f t="shared" si="3"/>
        <v>0.20153550863723607</v>
      </c>
    </row>
    <row r="44" spans="1:7" x14ac:dyDescent="0.3">
      <c r="A44" s="4" t="s">
        <v>18</v>
      </c>
      <c r="B44" s="20">
        <f t="shared" si="1"/>
        <v>0.15599999999999997</v>
      </c>
      <c r="C44" s="20">
        <f t="shared" si="2"/>
        <v>0.18469656992084429</v>
      </c>
      <c r="D44" s="20">
        <f t="shared" si="3"/>
        <v>0.21593090211132437</v>
      </c>
    </row>
    <row r="45" spans="1:7" x14ac:dyDescent="0.3">
      <c r="A45" s="4" t="s">
        <v>20</v>
      </c>
      <c r="B45" s="20">
        <f t="shared" si="1"/>
        <v>0.16799999999999998</v>
      </c>
      <c r="C45" s="20">
        <f t="shared" si="2"/>
        <v>0.2242744063324538</v>
      </c>
      <c r="D45" s="20">
        <f t="shared" si="3"/>
        <v>0.28790786948176583</v>
      </c>
    </row>
    <row r="48" spans="1:7" x14ac:dyDescent="0.3">
      <c r="A48" s="49" t="s">
        <v>71</v>
      </c>
      <c r="B48" s="50"/>
      <c r="C48" s="50"/>
      <c r="D48" s="50"/>
      <c r="E48" s="50"/>
      <c r="F48" s="50"/>
      <c r="G48" s="50"/>
    </row>
    <row r="49" spans="1:7" x14ac:dyDescent="0.3">
      <c r="A49" s="51" t="s">
        <v>72</v>
      </c>
      <c r="B49" s="27"/>
      <c r="C49" s="27"/>
      <c r="D49" s="27"/>
      <c r="E49" s="27"/>
      <c r="F49" s="27"/>
      <c r="G49" s="27"/>
    </row>
    <row r="50" spans="1:7" ht="43.2" x14ac:dyDescent="0.3">
      <c r="A50" s="21" t="s">
        <v>7</v>
      </c>
      <c r="B50" s="21" t="s">
        <v>73</v>
      </c>
      <c r="C50" s="21" t="s">
        <v>74</v>
      </c>
      <c r="D50" s="21" t="s">
        <v>75</v>
      </c>
    </row>
    <row r="51" spans="1:7" x14ac:dyDescent="0.3">
      <c r="A51" s="4" t="s">
        <v>10</v>
      </c>
      <c r="B51" s="22">
        <f t="shared" ref="B51:B56" si="4">(B40+C40+D40)/3</f>
        <v>0.12361497447290042</v>
      </c>
      <c r="C51" s="22">
        <f t="shared" ref="C51:C56" si="5">B51/$B$57</f>
        <v>0.12226129243681941</v>
      </c>
      <c r="D51" s="23">
        <f t="shared" ref="D51:D56" si="6">C51*100</f>
        <v>12.226129243681941</v>
      </c>
    </row>
    <row r="52" spans="1:7" x14ac:dyDescent="0.3">
      <c r="A52" s="4" t="s">
        <v>12</v>
      </c>
      <c r="B52" s="22">
        <f t="shared" si="4"/>
        <v>0.15142033085912068</v>
      </c>
      <c r="C52" s="22">
        <f t="shared" si="5"/>
        <v>0.14976215811220667</v>
      </c>
      <c r="D52" s="23">
        <f t="shared" si="6"/>
        <v>14.976215811220667</v>
      </c>
    </row>
    <row r="53" spans="1:7" x14ac:dyDescent="0.3">
      <c r="A53" s="4" t="s">
        <v>14</v>
      </c>
      <c r="B53" s="22">
        <f t="shared" si="4"/>
        <v>0.15142033085912068</v>
      </c>
      <c r="C53" s="22">
        <f t="shared" si="5"/>
        <v>0.14976215811220667</v>
      </c>
      <c r="D53" s="23">
        <f t="shared" si="6"/>
        <v>14.976215811220667</v>
      </c>
    </row>
    <row r="54" spans="1:7" x14ac:dyDescent="0.3">
      <c r="A54" s="4" t="s">
        <v>16</v>
      </c>
      <c r="B54" s="22">
        <f t="shared" si="4"/>
        <v>0.1723464888069591</v>
      </c>
      <c r="C54" s="22">
        <f t="shared" si="5"/>
        <v>0.17045915802948308</v>
      </c>
      <c r="D54" s="23">
        <f t="shared" si="6"/>
        <v>17.045915802948308</v>
      </c>
    </row>
    <row r="55" spans="1:7" x14ac:dyDescent="0.3">
      <c r="A55" s="4" t="s">
        <v>18</v>
      </c>
      <c r="B55" s="22">
        <f t="shared" si="4"/>
        <v>0.18554249067738957</v>
      </c>
      <c r="C55" s="22">
        <f t="shared" si="5"/>
        <v>0.18351065321084725</v>
      </c>
      <c r="D55" s="23">
        <f t="shared" si="6"/>
        <v>18.351065321084725</v>
      </c>
    </row>
    <row r="56" spans="1:7" x14ac:dyDescent="0.3">
      <c r="A56" s="4" t="s">
        <v>20</v>
      </c>
      <c r="B56" s="22">
        <f t="shared" si="4"/>
        <v>0.22672742527140655</v>
      </c>
      <c r="C56" s="22">
        <f t="shared" si="5"/>
        <v>0.22424458009843695</v>
      </c>
      <c r="D56" s="23">
        <f t="shared" si="6"/>
        <v>22.424458009843697</v>
      </c>
    </row>
    <row r="57" spans="1:7" x14ac:dyDescent="0.3">
      <c r="A57" s="5" t="s">
        <v>34</v>
      </c>
      <c r="B57" s="10">
        <f>SUM(B51:B56)</f>
        <v>1.011072040946897</v>
      </c>
      <c r="C57" s="10">
        <f>SUM(C51:C56)</f>
        <v>1</v>
      </c>
    </row>
  </sheetData>
  <mergeCells count="15">
    <mergeCell ref="A49:G49"/>
    <mergeCell ref="A16:S16"/>
    <mergeCell ref="A15:S15"/>
    <mergeCell ref="A3:E3"/>
    <mergeCell ref="N17:P17"/>
    <mergeCell ref="Q17:S17"/>
    <mergeCell ref="K17:M17"/>
    <mergeCell ref="H17:J17"/>
    <mergeCell ref="A1:U1"/>
    <mergeCell ref="A38:E38"/>
    <mergeCell ref="A27:G27"/>
    <mergeCell ref="A28:G28"/>
    <mergeCell ref="B17:D17"/>
    <mergeCell ref="A48:G48"/>
    <mergeCell ref="E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H7" sqref="H7"/>
    </sheetView>
  </sheetViews>
  <sheetFormatPr defaultRowHeight="14.4" x14ac:dyDescent="0.3"/>
  <cols>
    <col min="1" max="1" width="8" customWidth="1"/>
    <col min="2" max="2" width="25" customWidth="1"/>
    <col min="3" max="8" width="12" customWidth="1"/>
  </cols>
  <sheetData>
    <row r="1" spans="1:9" ht="21" x14ac:dyDescent="0.4">
      <c r="A1" s="42" t="s">
        <v>76</v>
      </c>
      <c r="B1" s="27"/>
      <c r="C1" s="27"/>
      <c r="D1" s="27"/>
      <c r="E1" s="27"/>
      <c r="F1" s="27"/>
      <c r="G1" s="27"/>
      <c r="H1" s="27"/>
      <c r="I1" s="27"/>
    </row>
    <row r="2" spans="1:9" x14ac:dyDescent="0.3">
      <c r="A2" s="26" t="s">
        <v>77</v>
      </c>
      <c r="B2" s="27"/>
      <c r="C2" s="27"/>
      <c r="D2" s="27"/>
      <c r="E2" s="27"/>
      <c r="F2" s="27"/>
      <c r="G2" s="27"/>
      <c r="H2" s="27"/>
      <c r="I2" s="27"/>
    </row>
    <row r="4" spans="1:9" x14ac:dyDescent="0.3">
      <c r="A4" s="2" t="s">
        <v>22</v>
      </c>
      <c r="B4" s="2" t="s">
        <v>23</v>
      </c>
      <c r="C4" s="2" t="s">
        <v>9</v>
      </c>
      <c r="D4" s="2" t="s">
        <v>11</v>
      </c>
      <c r="E4" s="2" t="s">
        <v>13</v>
      </c>
      <c r="F4" s="2" t="s">
        <v>15</v>
      </c>
      <c r="G4" s="2" t="s">
        <v>17</v>
      </c>
      <c r="H4" s="2" t="s">
        <v>19</v>
      </c>
    </row>
    <row r="5" spans="1:9" x14ac:dyDescent="0.3">
      <c r="A5" s="5">
        <v>1</v>
      </c>
      <c r="B5" s="4" t="str">
        <f>'Input Data'!B20</f>
        <v>Gading Martin</v>
      </c>
      <c r="C5" s="1">
        <v>4</v>
      </c>
      <c r="D5" s="1">
        <v>5</v>
      </c>
      <c r="E5" s="1">
        <v>3</v>
      </c>
      <c r="F5" s="1">
        <v>5</v>
      </c>
      <c r="G5" s="1">
        <v>4</v>
      </c>
      <c r="H5" s="1">
        <v>87</v>
      </c>
    </row>
    <row r="6" spans="1:9" x14ac:dyDescent="0.3">
      <c r="A6" s="5">
        <v>2</v>
      </c>
      <c r="B6" s="4" t="str">
        <f>'Input Data'!B21</f>
        <v>Taufik Iriansyah</v>
      </c>
      <c r="C6" s="1">
        <v>5</v>
      </c>
      <c r="D6" s="1">
        <v>4</v>
      </c>
      <c r="E6" s="1">
        <v>3</v>
      </c>
      <c r="F6" s="1">
        <v>4</v>
      </c>
      <c r="G6" s="1">
        <v>3</v>
      </c>
      <c r="H6" s="1">
        <v>77</v>
      </c>
    </row>
    <row r="7" spans="1:9" x14ac:dyDescent="0.3">
      <c r="A7" s="5">
        <v>3</v>
      </c>
      <c r="B7" s="4">
        <f>'Input Data'!B22</f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9" x14ac:dyDescent="0.3">
      <c r="A8" s="5">
        <v>4</v>
      </c>
      <c r="B8" s="4">
        <f>'Input Data'!B23</f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r="9" spans="1:9" x14ac:dyDescent="0.3">
      <c r="A9" s="5">
        <v>5</v>
      </c>
      <c r="B9" s="4">
        <f>'Input Data'!B24</f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9" x14ac:dyDescent="0.3">
      <c r="A10" s="5">
        <v>6</v>
      </c>
      <c r="B10" s="4">
        <f>'Input Data'!B25</f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9" x14ac:dyDescent="0.3">
      <c r="A11" s="5">
        <v>7</v>
      </c>
      <c r="B11" s="4">
        <f>'Input Data'!B26</f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9" x14ac:dyDescent="0.3">
      <c r="A12" s="5">
        <v>8</v>
      </c>
      <c r="B12" s="4">
        <f>'Input Data'!B27</f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</row>
    <row r="13" spans="1:9" x14ac:dyDescent="0.3">
      <c r="A13" s="5">
        <v>9</v>
      </c>
      <c r="B13" s="4">
        <f>'Input Data'!B28</f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9" x14ac:dyDescent="0.3">
      <c r="A14" s="5">
        <v>10</v>
      </c>
      <c r="B14" s="4">
        <f>'Input Data'!B29</f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topLeftCell="A4" workbookViewId="0">
      <selection activeCell="I11" sqref="I11"/>
    </sheetView>
  </sheetViews>
  <sheetFormatPr defaultRowHeight="14.4" x14ac:dyDescent="0.3"/>
  <cols>
    <col min="1" max="1" width="8" customWidth="1"/>
    <col min="2" max="2" width="25" customWidth="1"/>
    <col min="3" max="8" width="12" customWidth="1"/>
    <col min="9" max="9" width="14" customWidth="1"/>
    <col min="10" max="10" width="10" customWidth="1"/>
  </cols>
  <sheetData>
    <row r="1" spans="1:12" ht="21" x14ac:dyDescent="0.4">
      <c r="A1" s="42" t="s">
        <v>78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3">
      <c r="A2" s="55" t="s">
        <v>79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1:12" ht="15.6" x14ac:dyDescent="0.3">
      <c r="A4" s="56" t="s">
        <v>80</v>
      </c>
      <c r="B4" s="27"/>
      <c r="C4" s="27"/>
      <c r="D4" s="27"/>
      <c r="E4" s="27"/>
      <c r="F4" s="27"/>
      <c r="G4" s="27"/>
    </row>
    <row r="5" spans="1:12" x14ac:dyDescent="0.3">
      <c r="A5" s="21" t="s">
        <v>9</v>
      </c>
      <c r="B5" s="21" t="s">
        <v>11</v>
      </c>
      <c r="C5" s="21" t="s">
        <v>13</v>
      </c>
      <c r="D5" s="21" t="s">
        <v>15</v>
      </c>
      <c r="E5" s="21" t="s">
        <v>17</v>
      </c>
      <c r="F5" s="21" t="s">
        <v>19</v>
      </c>
    </row>
    <row r="6" spans="1:12" x14ac:dyDescent="0.3">
      <c r="A6" s="22">
        <f>'4-6. Fuzzy &amp; Bobot'!C51</f>
        <v>0.12226129243681941</v>
      </c>
      <c r="B6" s="22">
        <f>'4-6. Fuzzy &amp; Bobot'!C52</f>
        <v>0.14976215811220667</v>
      </c>
      <c r="C6" s="22">
        <f>'4-6. Fuzzy &amp; Bobot'!C53</f>
        <v>0.14976215811220667</v>
      </c>
      <c r="D6" s="22">
        <f>'4-6. Fuzzy &amp; Bobot'!C54</f>
        <v>0.17045915802948308</v>
      </c>
      <c r="E6" s="22">
        <f>'4-6. Fuzzy &amp; Bobot'!C55</f>
        <v>0.18351065321084725</v>
      </c>
      <c r="F6" s="22">
        <f>'4-6. Fuzzy &amp; Bobot'!C56</f>
        <v>0.22424458009843695</v>
      </c>
    </row>
    <row r="8" spans="1:12" ht="15.6" x14ac:dyDescent="0.3">
      <c r="A8" s="28" t="s">
        <v>81</v>
      </c>
      <c r="B8" s="27"/>
      <c r="C8" s="27"/>
      <c r="D8" s="27"/>
      <c r="E8" s="27"/>
      <c r="F8" s="27"/>
      <c r="G8" s="27"/>
      <c r="H8" s="27"/>
      <c r="I8" s="27"/>
      <c r="J8" s="27"/>
    </row>
    <row r="9" spans="1:12" x14ac:dyDescent="0.3">
      <c r="A9" s="2" t="s">
        <v>22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86</v>
      </c>
      <c r="G9" s="2" t="s">
        <v>87</v>
      </c>
      <c r="H9" s="2" t="s">
        <v>88</v>
      </c>
      <c r="I9" s="3" t="s">
        <v>89</v>
      </c>
      <c r="J9" s="3" t="s">
        <v>90</v>
      </c>
    </row>
    <row r="10" spans="1:12" x14ac:dyDescent="0.3">
      <c r="A10" s="5">
        <v>1</v>
      </c>
      <c r="B10" s="4" t="str">
        <f>'Input Data'!B20</f>
        <v>Gading Martin</v>
      </c>
      <c r="C10" s="24">
        <f>'Nilai Peserta'!C5*$A$6</f>
        <v>0.48904516974727763</v>
      </c>
      <c r="D10" s="24">
        <f>'Nilai Peserta'!D5*$B$6</f>
        <v>0.74881079056103328</v>
      </c>
      <c r="E10" s="24">
        <f>'Nilai Peserta'!E5*$C$6</f>
        <v>0.44928647433662</v>
      </c>
      <c r="F10" s="24">
        <f>'Nilai Peserta'!F5*$D$6</f>
        <v>0.85229579014741541</v>
      </c>
      <c r="G10" s="24">
        <f>'Nilai Peserta'!G5*$E$6</f>
        <v>0.73404261284338901</v>
      </c>
      <c r="H10" s="24">
        <f>'Nilai Peserta'!H5*$F$6</f>
        <v>19.509278468564016</v>
      </c>
      <c r="I10" s="25">
        <f t="shared" ref="I10:I19" si="0">SUM(C10:H10)</f>
        <v>22.78275930619975</v>
      </c>
      <c r="J10" s="10">
        <f t="shared" ref="J10:J19" si="1">IF(B10="","",RANK(I10,$I$10:$I$19,0))</f>
        <v>1</v>
      </c>
    </row>
    <row r="11" spans="1:12" x14ac:dyDescent="0.3">
      <c r="A11" s="5">
        <v>2</v>
      </c>
      <c r="B11" s="4" t="str">
        <f>'Input Data'!B21</f>
        <v>Taufik Iriansyah</v>
      </c>
      <c r="C11" s="24">
        <f>'Nilai Peserta'!C6*$A$6</f>
        <v>0.61130646218409701</v>
      </c>
      <c r="D11" s="24">
        <f>'Nilai Peserta'!D6*$B$6</f>
        <v>0.59904863244882667</v>
      </c>
      <c r="E11" s="24">
        <f>'Nilai Peserta'!E6*$C$6</f>
        <v>0.44928647433662</v>
      </c>
      <c r="F11" s="24">
        <f>'Nilai Peserta'!F6*$D$6</f>
        <v>0.68183663211793233</v>
      </c>
      <c r="G11" s="24">
        <f>'Nilai Peserta'!G6*$E$6</f>
        <v>0.55053195963254176</v>
      </c>
      <c r="H11" s="24">
        <f>'Nilai Peserta'!H6*$F$6</f>
        <v>17.266832667579646</v>
      </c>
      <c r="I11" s="25">
        <f t="shared" si="0"/>
        <v>20.158842828299662</v>
      </c>
      <c r="J11" s="10">
        <f t="shared" si="1"/>
        <v>2</v>
      </c>
    </row>
    <row r="12" spans="1:12" x14ac:dyDescent="0.3">
      <c r="A12" s="5">
        <v>3</v>
      </c>
      <c r="B12" s="4">
        <f>'Input Data'!B22</f>
        <v>0</v>
      </c>
      <c r="C12" s="24">
        <f>'Nilai Peserta'!C7*$A$6</f>
        <v>0</v>
      </c>
      <c r="D12" s="24">
        <f>'Nilai Peserta'!D7*$B$6</f>
        <v>0</v>
      </c>
      <c r="E12" s="24">
        <f>'Nilai Peserta'!E7*$C$6</f>
        <v>0</v>
      </c>
      <c r="F12" s="24">
        <f>'Nilai Peserta'!F7*$D$6</f>
        <v>0</v>
      </c>
      <c r="G12" s="24">
        <f>'Nilai Peserta'!G7*$E$6</f>
        <v>0</v>
      </c>
      <c r="H12" s="24">
        <f>'Nilai Peserta'!H7*$F$6</f>
        <v>0</v>
      </c>
      <c r="I12" s="25">
        <f t="shared" si="0"/>
        <v>0</v>
      </c>
      <c r="J12" s="10">
        <f t="shared" si="1"/>
        <v>3</v>
      </c>
    </row>
    <row r="13" spans="1:12" x14ac:dyDescent="0.3">
      <c r="A13" s="5">
        <v>4</v>
      </c>
      <c r="B13" s="4">
        <f>'Input Data'!B23</f>
        <v>0</v>
      </c>
      <c r="C13" s="24">
        <f>'Nilai Peserta'!C8*$A$6</f>
        <v>0</v>
      </c>
      <c r="D13" s="24">
        <f>'Nilai Peserta'!D8*$B$6</f>
        <v>0</v>
      </c>
      <c r="E13" s="24">
        <f>'Nilai Peserta'!E8*$C$6</f>
        <v>0</v>
      </c>
      <c r="F13" s="24">
        <f>'Nilai Peserta'!F8*$D$6</f>
        <v>0</v>
      </c>
      <c r="G13" s="24">
        <f>'Nilai Peserta'!G8*$E$6</f>
        <v>0</v>
      </c>
      <c r="H13" s="24">
        <f>'Nilai Peserta'!H8*$F$6</f>
        <v>0</v>
      </c>
      <c r="I13" s="25">
        <f t="shared" si="0"/>
        <v>0</v>
      </c>
      <c r="J13" s="10">
        <f t="shared" si="1"/>
        <v>3</v>
      </c>
    </row>
    <row r="14" spans="1:12" x14ac:dyDescent="0.3">
      <c r="A14" s="5">
        <v>5</v>
      </c>
      <c r="B14" s="4">
        <f>'Input Data'!B24</f>
        <v>0</v>
      </c>
      <c r="C14" s="24">
        <f>'Nilai Peserta'!C9*$A$6</f>
        <v>0</v>
      </c>
      <c r="D14" s="24">
        <f>'Nilai Peserta'!D9*$B$6</f>
        <v>0</v>
      </c>
      <c r="E14" s="24">
        <f>'Nilai Peserta'!E9*$C$6</f>
        <v>0</v>
      </c>
      <c r="F14" s="24">
        <f>'Nilai Peserta'!F9*$D$6</f>
        <v>0</v>
      </c>
      <c r="G14" s="24">
        <f>'Nilai Peserta'!G9*$E$6</f>
        <v>0</v>
      </c>
      <c r="H14" s="24">
        <f>'Nilai Peserta'!H9*$F$6</f>
        <v>0</v>
      </c>
      <c r="I14" s="25">
        <f t="shared" si="0"/>
        <v>0</v>
      </c>
      <c r="J14" s="10">
        <f t="shared" si="1"/>
        <v>3</v>
      </c>
    </row>
    <row r="15" spans="1:12" x14ac:dyDescent="0.3">
      <c r="A15" s="5">
        <v>6</v>
      </c>
      <c r="B15" s="4">
        <f>'Input Data'!B25</f>
        <v>0</v>
      </c>
      <c r="C15" s="24">
        <f>'Nilai Peserta'!C10*$A$6</f>
        <v>0</v>
      </c>
      <c r="D15" s="24">
        <f>'Nilai Peserta'!D10*$B$6</f>
        <v>0</v>
      </c>
      <c r="E15" s="24">
        <f>'Nilai Peserta'!E10*$C$6</f>
        <v>0</v>
      </c>
      <c r="F15" s="24">
        <f>'Nilai Peserta'!F10*$D$6</f>
        <v>0</v>
      </c>
      <c r="G15" s="24">
        <f>'Nilai Peserta'!G10*$E$6</f>
        <v>0</v>
      </c>
      <c r="H15" s="24">
        <f>'Nilai Peserta'!H10*$F$6</f>
        <v>0</v>
      </c>
      <c r="I15" s="25">
        <f t="shared" si="0"/>
        <v>0</v>
      </c>
      <c r="J15" s="10">
        <f t="shared" si="1"/>
        <v>3</v>
      </c>
    </row>
    <row r="16" spans="1:12" x14ac:dyDescent="0.3">
      <c r="A16" s="5">
        <v>7</v>
      </c>
      <c r="B16" s="4">
        <f>'Input Data'!B26</f>
        <v>0</v>
      </c>
      <c r="C16" s="24">
        <f>'Nilai Peserta'!C11*$A$6</f>
        <v>0</v>
      </c>
      <c r="D16" s="24">
        <f>'Nilai Peserta'!D11*$B$6</f>
        <v>0</v>
      </c>
      <c r="E16" s="24">
        <f>'Nilai Peserta'!E11*$C$6</f>
        <v>0</v>
      </c>
      <c r="F16" s="24">
        <f>'Nilai Peserta'!F11*$D$6</f>
        <v>0</v>
      </c>
      <c r="G16" s="24">
        <f>'Nilai Peserta'!G11*$E$6</f>
        <v>0</v>
      </c>
      <c r="H16" s="24">
        <f>'Nilai Peserta'!H11*$F$6</f>
        <v>0</v>
      </c>
      <c r="I16" s="25">
        <f t="shared" si="0"/>
        <v>0</v>
      </c>
      <c r="J16" s="10">
        <f t="shared" si="1"/>
        <v>3</v>
      </c>
    </row>
    <row r="17" spans="1:10" x14ac:dyDescent="0.3">
      <c r="A17" s="5">
        <v>8</v>
      </c>
      <c r="B17" s="4">
        <f>'Input Data'!B27</f>
        <v>0</v>
      </c>
      <c r="C17" s="24">
        <f>'Nilai Peserta'!C12*$A$6</f>
        <v>0</v>
      </c>
      <c r="D17" s="24">
        <f>'Nilai Peserta'!D12*$B$6</f>
        <v>0</v>
      </c>
      <c r="E17" s="24">
        <f>'Nilai Peserta'!E12*$C$6</f>
        <v>0</v>
      </c>
      <c r="F17" s="24">
        <f>'Nilai Peserta'!F12*$D$6</f>
        <v>0</v>
      </c>
      <c r="G17" s="24">
        <f>'Nilai Peserta'!G12*$E$6</f>
        <v>0</v>
      </c>
      <c r="H17" s="24">
        <f>'Nilai Peserta'!H12*$F$6</f>
        <v>0</v>
      </c>
      <c r="I17" s="25">
        <f t="shared" si="0"/>
        <v>0</v>
      </c>
      <c r="J17" s="10">
        <f t="shared" si="1"/>
        <v>3</v>
      </c>
    </row>
    <row r="18" spans="1:10" x14ac:dyDescent="0.3">
      <c r="A18" s="5">
        <v>9</v>
      </c>
      <c r="B18" s="4">
        <f>'Input Data'!B28</f>
        <v>0</v>
      </c>
      <c r="C18" s="24">
        <f>'Nilai Peserta'!C13*$A$6</f>
        <v>0</v>
      </c>
      <c r="D18" s="24">
        <f>'Nilai Peserta'!D13*$B$6</f>
        <v>0</v>
      </c>
      <c r="E18" s="24">
        <f>'Nilai Peserta'!E13*$C$6</f>
        <v>0</v>
      </c>
      <c r="F18" s="24">
        <f>'Nilai Peserta'!F13*$D$6</f>
        <v>0</v>
      </c>
      <c r="G18" s="24">
        <f>'Nilai Peserta'!G13*$E$6</f>
        <v>0</v>
      </c>
      <c r="H18" s="24">
        <f>'Nilai Peserta'!H13*$F$6</f>
        <v>0</v>
      </c>
      <c r="I18" s="25">
        <f t="shared" si="0"/>
        <v>0</v>
      </c>
      <c r="J18" s="10">
        <f t="shared" si="1"/>
        <v>3</v>
      </c>
    </row>
    <row r="19" spans="1:10" x14ac:dyDescent="0.3">
      <c r="A19" s="5">
        <v>10</v>
      </c>
      <c r="B19" s="4">
        <f>'Input Data'!B29</f>
        <v>0</v>
      </c>
      <c r="C19" s="24">
        <f>'Nilai Peserta'!C14*$A$6</f>
        <v>0</v>
      </c>
      <c r="D19" s="24">
        <f>'Nilai Peserta'!D14*$B$6</f>
        <v>0</v>
      </c>
      <c r="E19" s="24">
        <f>'Nilai Peserta'!E14*$C$6</f>
        <v>0</v>
      </c>
      <c r="F19" s="24">
        <f>'Nilai Peserta'!F14*$D$6</f>
        <v>0</v>
      </c>
      <c r="G19" s="24">
        <f>'Nilai Peserta'!G14*$E$6</f>
        <v>0</v>
      </c>
      <c r="H19" s="24">
        <f>'Nilai Peserta'!H14*$F$6</f>
        <v>0</v>
      </c>
      <c r="I19" s="25">
        <f t="shared" si="0"/>
        <v>0</v>
      </c>
      <c r="J19" s="10">
        <f t="shared" si="1"/>
        <v>3</v>
      </c>
    </row>
  </sheetData>
  <mergeCells count="4">
    <mergeCell ref="A2:L2"/>
    <mergeCell ref="A1:L1"/>
    <mergeCell ref="A8:J8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Data</vt:lpstr>
      <vt:lpstr>1-3. Crisp &amp; Konsistensi</vt:lpstr>
      <vt:lpstr>4-6. Fuzzy &amp; Bobot</vt:lpstr>
      <vt:lpstr>Nilai Peserta</vt:lpstr>
      <vt:lpstr>Hasil &amp;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Novgeny Ermiawan</cp:lastModifiedBy>
  <dcterms:created xsi:type="dcterms:W3CDTF">2026-02-04T13:51:48Z</dcterms:created>
  <dcterms:modified xsi:type="dcterms:W3CDTF">2026-02-08T14:16:31Z</dcterms:modified>
</cp:coreProperties>
</file>