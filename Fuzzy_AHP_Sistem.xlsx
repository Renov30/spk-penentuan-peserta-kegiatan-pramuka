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 Data" sheetId="1" state="visible" r:id="rId1"/>
    <sheet name="1-3. Crisp &amp; Konsistensi" sheetId="2" state="visible" r:id="rId2"/>
    <sheet name="4-6. Fuzzy &amp; Bobot" sheetId="3" state="visible" r:id="rId3"/>
    <sheet name="Nilai Peserta" sheetId="4" state="visible" r:id="rId4"/>
    <sheet name="Hasil &amp; Rank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24">
    <font>
      <name val="Calibri"/>
      <family val="2"/>
      <color theme="1"/>
      <sz val="11"/>
      <scheme val="minor"/>
    </font>
    <font>
      <b val="1"/>
      <color rgb="001F4E79"/>
      <sz val="18"/>
    </font>
    <font>
      <i val="1"/>
      <color rgb="00FF0000"/>
    </font>
    <font>
      <b val="1"/>
      <color rgb="001F4E79"/>
      <sz val="12"/>
    </font>
    <font>
      <color rgb="000000FF"/>
      <sz val="11"/>
    </font>
    <font>
      <b val="1"/>
      <color rgb="00FFFFFF"/>
      <sz val="11"/>
    </font>
    <font>
      <sz val="10"/>
    </font>
    <font>
      <b val="1"/>
      <color rgb="001F4E79"/>
      <sz val="16"/>
    </font>
    <font>
      <b val="1"/>
      <color rgb="00FFFFFF"/>
      <sz val="12"/>
    </font>
    <font>
      <i val="1"/>
      <color rgb="00666666"/>
      <sz val="9"/>
    </font>
    <font>
      <i val="1"/>
      <color rgb="0016A34A"/>
      <sz val="10"/>
    </font>
    <font>
      <b val="1"/>
    </font>
    <font>
      <i val="1"/>
      <color rgb="00CA8A04"/>
      <sz val="10"/>
    </font>
    <font>
      <b val="1"/>
      <color rgb="001F4E79"/>
      <sz val="11"/>
    </font>
    <font>
      <b val="1"/>
      <color rgb="0016A34A"/>
      <sz val="14"/>
    </font>
    <font>
      <b val="1"/>
      <sz val="14"/>
    </font>
    <font>
      <b val="1"/>
      <sz val="12"/>
    </font>
    <font>
      <b val="1"/>
      <color rgb="009333EA"/>
      <sz val="12"/>
    </font>
    <font>
      <b val="1"/>
      <color rgb="00000000"/>
      <sz val="10"/>
    </font>
    <font>
      <i val="1"/>
      <color rgb="00D97706"/>
      <sz val="10"/>
    </font>
    <font>
      <b val="1"/>
      <color rgb="00D97706"/>
      <sz val="11"/>
    </font>
    <font>
      <i val="1"/>
      <color rgb="000D9488"/>
      <sz val="10"/>
    </font>
    <font>
      <i val="1"/>
      <color rgb="00666666"/>
    </font>
    <font>
      <b val="1"/>
      <color rgb="000D9488"/>
      <sz val="12"/>
    </font>
  </fonts>
  <fills count="18">
    <fill>
      <patternFill/>
    </fill>
    <fill>
      <patternFill patternType="gray125"/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D6DCE4"/>
        <bgColor rgb="00D6DCE4"/>
      </patternFill>
    </fill>
    <fill>
      <patternFill patternType="solid">
        <fgColor rgb="002563EB"/>
        <bgColor rgb="002563EB"/>
      </patternFill>
    </fill>
    <fill>
      <patternFill patternType="solid">
        <fgColor rgb="0016A34A"/>
        <bgColor rgb="0016A34A"/>
      </patternFill>
    </fill>
    <fill>
      <patternFill patternType="solid">
        <fgColor rgb="00E2EFDA"/>
        <bgColor rgb="00E2EFDA"/>
      </patternFill>
    </fill>
    <fill>
      <patternFill patternType="solid">
        <fgColor rgb="00FFC000"/>
        <bgColor rgb="00FFC000"/>
      </patternFill>
    </fill>
    <fill>
      <patternFill patternType="solid">
        <fgColor rgb="00CA8A04"/>
        <bgColor rgb="00CA8A04"/>
      </patternFill>
    </fill>
    <fill>
      <patternFill patternType="solid">
        <fgColor rgb="00FFF2CC"/>
        <bgColor rgb="00FFF2CC"/>
      </patternFill>
    </fill>
    <fill>
      <patternFill patternType="solid">
        <fgColor rgb="009333EA"/>
        <bgColor rgb="009333EA"/>
      </patternFill>
    </fill>
    <fill>
      <patternFill patternType="solid">
        <fgColor rgb="00E9D5FF"/>
        <bgColor rgb="00E9D5FF"/>
      </patternFill>
    </fill>
    <fill>
      <patternFill patternType="solid">
        <fgColor rgb="00D97706"/>
        <bgColor rgb="00D97706"/>
      </patternFill>
    </fill>
    <fill>
      <patternFill patternType="solid">
        <fgColor rgb="00FEF3C7"/>
        <bgColor rgb="00FEF3C7"/>
      </patternFill>
    </fill>
    <fill>
      <patternFill patternType="solid">
        <fgColor rgb="000D9488"/>
        <bgColor rgb="000D9488"/>
      </patternFill>
    </fill>
    <fill>
      <patternFill patternType="solid">
        <fgColor rgb="00CCFBF1"/>
        <bgColor rgb="00CCFBF1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9" fillId="0" borderId="0" pivotButton="0" quotePrefix="0" xfId="0"/>
    <xf numFmtId="2" fontId="6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0" fillId="0" borderId="0" pivotButton="0" quotePrefix="0" xfId="0"/>
    <xf numFmtId="0" fontId="5" fillId="7" borderId="1" applyAlignment="1" pivotButton="0" quotePrefix="0" xfId="0">
      <alignment horizontal="center" vertical="center" wrapText="1"/>
    </xf>
    <xf numFmtId="164" fontId="6" fillId="8" borderId="1" applyAlignment="1" pivotButton="0" quotePrefix="0" xfId="0">
      <alignment horizontal="center" vertical="center" wrapText="1"/>
    </xf>
    <xf numFmtId="164" fontId="6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0" pivotButton="0" quotePrefix="0" xfId="0"/>
    <xf numFmtId="0" fontId="5" fillId="10" borderId="1" applyAlignment="1" pivotButton="0" quotePrefix="0" xfId="0">
      <alignment horizontal="center" vertical="center" wrapText="1"/>
    </xf>
    <xf numFmtId="164" fontId="6" fillId="11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7" fillId="0" borderId="0" pivotButton="0" quotePrefix="0" xfId="0"/>
    <xf numFmtId="0" fontId="5" fillId="12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8" fillId="13" borderId="1" applyAlignment="1" pivotButton="0" quotePrefix="0" xfId="0">
      <alignment horizontal="center" vertical="center" wrapText="1"/>
    </xf>
    <xf numFmtId="2" fontId="6" fillId="13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0" fillId="14" borderId="1" pivotButton="0" quotePrefix="0" xfId="0"/>
    <xf numFmtId="0" fontId="19" fillId="0" borderId="0" pivotButton="0" quotePrefix="0" xfId="0"/>
    <xf numFmtId="0" fontId="5" fillId="14" borderId="1" applyAlignment="1" pivotButton="0" quotePrefix="0" xfId="0">
      <alignment horizontal="center" vertical="center" wrapText="1"/>
    </xf>
    <xf numFmtId="2" fontId="6" fillId="15" borderId="1" applyAlignment="1" pivotButton="0" quotePrefix="0" xfId="0">
      <alignment horizontal="center" vertical="center" wrapText="1"/>
    </xf>
    <xf numFmtId="2" fontId="6" fillId="9" borderId="1" applyAlignment="1" pivotButton="0" quotePrefix="0" xfId="0">
      <alignment horizontal="center" vertical="center" wrapText="1"/>
    </xf>
    <xf numFmtId="0" fontId="20" fillId="0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8" fillId="16" borderId="1" applyAlignment="1" pivotButton="0" quotePrefix="0" xfId="0">
      <alignment horizontal="center" vertical="center" wrapText="1"/>
    </xf>
    <xf numFmtId="0" fontId="0" fillId="16" borderId="1" pivotButton="0" quotePrefix="0" xfId="0"/>
    <xf numFmtId="0" fontId="21" fillId="0" borderId="0" pivotButton="0" quotePrefix="0" xfId="0"/>
    <xf numFmtId="0" fontId="5" fillId="16" borderId="1" applyAlignment="1" pivotButton="0" quotePrefix="0" xfId="0">
      <alignment horizontal="center" vertical="center" wrapText="1"/>
    </xf>
    <xf numFmtId="164" fontId="6" fillId="17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2" fontId="6" fillId="8" borderId="1" applyAlignment="1" pivotButton="0" quotePrefix="0" xfId="0">
      <alignment horizontal="center" vertical="center" wrapText="1"/>
    </xf>
    <xf numFmtId="2" fontId="6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</cols>
  <sheetData>
    <row r="1">
      <c r="A1" s="1" t="inlineStr">
        <is>
          <t>FUZZY AHP - INPUT DATA</t>
        </is>
      </c>
    </row>
    <row r="2">
      <c r="A2" s="2" t="inlineStr">
        <is>
          <t>Masukkan data di sel berwarna KUNING</t>
        </is>
      </c>
    </row>
    <row r="4">
      <c r="A4" s="3" t="inlineStr">
        <is>
          <t>DATA KEGIATAN</t>
        </is>
      </c>
    </row>
    <row r="5">
      <c r="A5" t="inlineStr">
        <is>
          <t>Nama Kegiatan:</t>
        </is>
      </c>
      <c r="B5" s="4" t="inlineStr">
        <is>
          <t>Raimuna Daerah</t>
        </is>
      </c>
      <c r="C5" s="5" t="n"/>
      <c r="D5" s="6" t="n"/>
    </row>
    <row r="6">
      <c r="A6" t="inlineStr">
        <is>
          <t>Kuota:</t>
        </is>
      </c>
      <c r="B6" s="4" t="n">
        <v>5</v>
      </c>
    </row>
    <row r="8">
      <c r="A8" s="3" t="inlineStr">
        <is>
          <t>INPUT BOBOT KRITERIA (Skala 1-9)</t>
        </is>
      </c>
    </row>
    <row r="9">
      <c r="A9" s="7" t="inlineStr">
        <is>
          <t>Kode</t>
        </is>
      </c>
      <c r="B9" s="7" t="inlineStr">
        <is>
          <t>Kriteria</t>
        </is>
      </c>
      <c r="C9" s="8" t="inlineStr">
        <is>
          <t>Bobot (1-9)</t>
        </is>
      </c>
    </row>
    <row r="10">
      <c r="A10" s="9" t="inlineStr">
        <is>
          <t>K1</t>
        </is>
      </c>
      <c r="B10" s="10" t="inlineStr">
        <is>
          <t>Status Keaktifan</t>
        </is>
      </c>
      <c r="C10" s="4" t="n">
        <v>7</v>
      </c>
    </row>
    <row r="11">
      <c r="A11" s="9" t="inlineStr">
        <is>
          <t>K2</t>
        </is>
      </c>
      <c r="B11" s="10" t="inlineStr">
        <is>
          <t>Pencapaian SKU</t>
        </is>
      </c>
      <c r="C11" s="4" t="n">
        <v>6</v>
      </c>
    </row>
    <row r="12">
      <c r="A12" s="9" t="inlineStr">
        <is>
          <t>K3</t>
        </is>
      </c>
      <c r="B12" s="10" t="inlineStr">
        <is>
          <t>Pencapaian SPG</t>
        </is>
      </c>
      <c r="C12" s="4" t="n">
        <v>5</v>
      </c>
    </row>
    <row r="13">
      <c r="A13" s="9" t="inlineStr">
        <is>
          <t>K4</t>
        </is>
      </c>
      <c r="B13" s="10" t="inlineStr">
        <is>
          <t>Kesehatan Jasmani</t>
        </is>
      </c>
      <c r="C13" s="4" t="n">
        <v>8</v>
      </c>
    </row>
    <row r="14">
      <c r="A14" s="9" t="inlineStr">
        <is>
          <t>K5</t>
        </is>
      </c>
      <c r="B14" s="10" t="inlineStr">
        <is>
          <t>Tes Wawancara</t>
        </is>
      </c>
      <c r="C14" s="4" t="n">
        <v>4</v>
      </c>
    </row>
    <row r="15">
      <c r="A15" s="9" t="inlineStr">
        <is>
          <t>K6</t>
        </is>
      </c>
      <c r="B15" s="10" t="inlineStr">
        <is>
          <t>Tes Pilihan Ganda</t>
        </is>
      </c>
      <c r="C15" s="4" t="n">
        <v>3</v>
      </c>
    </row>
    <row r="18">
      <c r="A18" s="3" t="inlineStr">
        <is>
          <t>DAFTAR PESERTA</t>
        </is>
      </c>
    </row>
    <row r="19">
      <c r="A19" s="7" t="inlineStr">
        <is>
          <t>No</t>
        </is>
      </c>
      <c r="B19" s="7" t="inlineStr">
        <is>
          <t>Nama Peserta</t>
        </is>
      </c>
      <c r="C19" s="7" t="inlineStr">
        <is>
          <t>Asal</t>
        </is>
      </c>
    </row>
    <row r="20">
      <c r="A20" s="10" t="n">
        <v>1</v>
      </c>
      <c r="B20" s="4" t="inlineStr">
        <is>
          <t>David Kulian</t>
        </is>
      </c>
      <c r="C20" s="4" t="inlineStr">
        <is>
          <t>Merauke</t>
        </is>
      </c>
    </row>
    <row r="21">
      <c r="A21" s="10" t="n">
        <v>2</v>
      </c>
      <c r="B21" s="4" t="inlineStr">
        <is>
          <t>Siti Aminah</t>
        </is>
      </c>
      <c r="C21" s="4" t="inlineStr">
        <is>
          <t>Jayapura</t>
        </is>
      </c>
    </row>
    <row r="22">
      <c r="A22" s="10" t="n">
        <v>3</v>
      </c>
      <c r="B22" s="4" t="inlineStr">
        <is>
          <t>Budi Santoso</t>
        </is>
      </c>
      <c r="C22" s="4" t="inlineStr">
        <is>
          <t>Sorong</t>
        </is>
      </c>
    </row>
    <row r="23">
      <c r="A23" s="10" t="n">
        <v>4</v>
      </c>
      <c r="B23" s="4" t="inlineStr">
        <is>
          <t>Dewi Lestari</t>
        </is>
      </c>
      <c r="C23" s="4" t="inlineStr">
        <is>
          <t>Manokwari</t>
        </is>
      </c>
    </row>
    <row r="24">
      <c r="A24" s="10" t="n">
        <v>5</v>
      </c>
      <c r="B24" s="4" t="inlineStr">
        <is>
          <t>Ahmad Fauzi</t>
        </is>
      </c>
      <c r="C24" s="4" t="inlineStr">
        <is>
          <t>Biak</t>
        </is>
      </c>
    </row>
    <row r="25">
      <c r="A25" s="10" t="n">
        <v>6</v>
      </c>
      <c r="B25" s="4" t="inlineStr"/>
      <c r="C25" s="4" t="inlineStr"/>
    </row>
    <row r="26">
      <c r="A26" s="10" t="n">
        <v>7</v>
      </c>
      <c r="B26" s="4" t="inlineStr"/>
      <c r="C26" s="4" t="inlineStr"/>
    </row>
    <row r="27">
      <c r="A27" s="10" t="n">
        <v>8</v>
      </c>
      <c r="B27" s="4" t="inlineStr"/>
      <c r="C27" s="4" t="inlineStr"/>
    </row>
    <row r="28">
      <c r="A28" s="10" t="n">
        <v>9</v>
      </c>
      <c r="B28" s="4" t="inlineStr"/>
      <c r="C28" s="4" t="inlineStr"/>
    </row>
    <row r="29">
      <c r="A29" s="10" t="n">
        <v>10</v>
      </c>
      <c r="B29" s="4" t="inlineStr"/>
      <c r="C29" s="4" t="inlineStr"/>
    </row>
  </sheetData>
  <mergeCells count="6">
    <mergeCell ref="A2:F2"/>
    <mergeCell ref="A18:D18"/>
    <mergeCell ref="B5:D5"/>
    <mergeCell ref="A8:D8"/>
    <mergeCell ref="A4:D4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1" t="inlineStr">
        <is>
          <t>LANGKAH 1-3: MATRIKS CRISP, EIGENVECTOR &amp; UJI KONSISTENSI</t>
        </is>
      </c>
    </row>
    <row r="3">
      <c r="A3" s="12" t="inlineStr">
        <is>
          <t>LANGKAH 1: PENYUSUNAN MATRIKS PERBANDINGAN BERPASANGAN (CRISP)</t>
        </is>
      </c>
      <c r="B3" s="13" t="n"/>
      <c r="C3" s="13" t="n"/>
      <c r="D3" s="13" t="n"/>
      <c r="E3" s="13" t="n"/>
      <c r="F3" s="13" t="n"/>
      <c r="G3" s="13" t="n"/>
      <c r="H3" s="13" t="n"/>
      <c r="I3" s="13" t="n"/>
    </row>
    <row r="4">
      <c r="A4" s="14" t="inlineStr">
        <is>
          <t>Matriks di-generate otomatis berdasarkan rasio bobot kriteria dari Sheet Input</t>
        </is>
      </c>
    </row>
    <row r="5">
      <c r="A5" s="7" t="inlineStr">
        <is>
          <t>Kriteria</t>
        </is>
      </c>
      <c r="B5" s="7" t="inlineStr">
        <is>
          <t>K1</t>
        </is>
      </c>
      <c r="C5" s="7" t="inlineStr">
        <is>
          <t>K2</t>
        </is>
      </c>
      <c r="D5" s="7" t="inlineStr">
        <is>
          <t>K3</t>
        </is>
      </c>
      <c r="E5" s="7" t="inlineStr">
        <is>
          <t>K4</t>
        </is>
      </c>
      <c r="F5" s="7" t="inlineStr">
        <is>
          <t>K5</t>
        </is>
      </c>
      <c r="G5" s="7" t="inlineStr">
        <is>
          <t>K6</t>
        </is>
      </c>
    </row>
    <row r="6">
      <c r="A6" s="9" t="inlineStr">
        <is>
          <t>K1</t>
        </is>
      </c>
      <c r="B6" s="9" t="n">
        <v>1</v>
      </c>
      <c r="C6" s="15">
        <f>IF('Input Data'!C10&gt;='Input Data'!C11,MAX(1,MIN(9,ROUND('Input Data'!C10/'Input Data'!C11,0))),1/MAX(1,MIN(9,ROUND('Input Data'!C11/'Input Data'!C10,0))))</f>
        <v/>
      </c>
      <c r="D6" s="15">
        <f>IF('Input Data'!C10&gt;='Input Data'!C12,MAX(1,MIN(9,ROUND('Input Data'!C10/'Input Data'!C12,0))),1/MAX(1,MIN(9,ROUND('Input Data'!C12/'Input Data'!C10,0))))</f>
        <v/>
      </c>
      <c r="E6" s="15">
        <f>IF('Input Data'!C10&gt;='Input Data'!C13,MAX(1,MIN(9,ROUND('Input Data'!C10/'Input Data'!C13,0))),1/MAX(1,MIN(9,ROUND('Input Data'!C13/'Input Data'!C10,0))))</f>
        <v/>
      </c>
      <c r="F6" s="15">
        <f>IF('Input Data'!C10&gt;='Input Data'!C14,MAX(1,MIN(9,ROUND('Input Data'!C10/'Input Data'!C14,0))),1/MAX(1,MIN(9,ROUND('Input Data'!C14/'Input Data'!C10,0))))</f>
        <v/>
      </c>
      <c r="G6" s="15">
        <f>IF('Input Data'!C10&gt;='Input Data'!C15,MAX(1,MIN(9,ROUND('Input Data'!C10/'Input Data'!C15,0))),1/MAX(1,MIN(9,ROUND('Input Data'!C15/'Input Data'!C10,0))))</f>
        <v/>
      </c>
    </row>
    <row r="7">
      <c r="A7" s="9" t="inlineStr">
        <is>
          <t>K2</t>
        </is>
      </c>
      <c r="B7" s="15">
        <f>IF('Input Data'!C11&gt;='Input Data'!C10,MAX(1,MIN(9,ROUND('Input Data'!C11/'Input Data'!C10,0))),1/MAX(1,MIN(9,ROUND('Input Data'!C10/'Input Data'!C11,0))))</f>
        <v/>
      </c>
      <c r="C7" s="9" t="n">
        <v>1</v>
      </c>
      <c r="D7" s="15">
        <f>IF('Input Data'!C11&gt;='Input Data'!C12,MAX(1,MIN(9,ROUND('Input Data'!C11/'Input Data'!C12,0))),1/MAX(1,MIN(9,ROUND('Input Data'!C12/'Input Data'!C11,0))))</f>
        <v/>
      </c>
      <c r="E7" s="15">
        <f>IF('Input Data'!C11&gt;='Input Data'!C13,MAX(1,MIN(9,ROUND('Input Data'!C11/'Input Data'!C13,0))),1/MAX(1,MIN(9,ROUND('Input Data'!C13/'Input Data'!C11,0))))</f>
        <v/>
      </c>
      <c r="F7" s="15">
        <f>IF('Input Data'!C11&gt;='Input Data'!C14,MAX(1,MIN(9,ROUND('Input Data'!C11/'Input Data'!C14,0))),1/MAX(1,MIN(9,ROUND('Input Data'!C14/'Input Data'!C11,0))))</f>
        <v/>
      </c>
      <c r="G7" s="15">
        <f>IF('Input Data'!C11&gt;='Input Data'!C15,MAX(1,MIN(9,ROUND('Input Data'!C11/'Input Data'!C15,0))),1/MAX(1,MIN(9,ROUND('Input Data'!C15/'Input Data'!C11,0))))</f>
        <v/>
      </c>
    </row>
    <row r="8">
      <c r="A8" s="9" t="inlineStr">
        <is>
          <t>K3</t>
        </is>
      </c>
      <c r="B8" s="15">
        <f>IF('Input Data'!C12&gt;='Input Data'!C10,MAX(1,MIN(9,ROUND('Input Data'!C12/'Input Data'!C10,0))),1/MAX(1,MIN(9,ROUND('Input Data'!C10/'Input Data'!C12,0))))</f>
        <v/>
      </c>
      <c r="C8" s="15">
        <f>IF('Input Data'!C12&gt;='Input Data'!C11,MAX(1,MIN(9,ROUND('Input Data'!C12/'Input Data'!C11,0))),1/MAX(1,MIN(9,ROUND('Input Data'!C11/'Input Data'!C12,0))))</f>
        <v/>
      </c>
      <c r="D8" s="9" t="n">
        <v>1</v>
      </c>
      <c r="E8" s="15">
        <f>IF('Input Data'!C12&gt;='Input Data'!C13,MAX(1,MIN(9,ROUND('Input Data'!C12/'Input Data'!C13,0))),1/MAX(1,MIN(9,ROUND('Input Data'!C13/'Input Data'!C12,0))))</f>
        <v/>
      </c>
      <c r="F8" s="15">
        <f>IF('Input Data'!C12&gt;='Input Data'!C14,MAX(1,MIN(9,ROUND('Input Data'!C12/'Input Data'!C14,0))),1/MAX(1,MIN(9,ROUND('Input Data'!C14/'Input Data'!C12,0))))</f>
        <v/>
      </c>
      <c r="G8" s="15">
        <f>IF('Input Data'!C12&gt;='Input Data'!C15,MAX(1,MIN(9,ROUND('Input Data'!C12/'Input Data'!C15,0))),1/MAX(1,MIN(9,ROUND('Input Data'!C15/'Input Data'!C12,0))))</f>
        <v/>
      </c>
    </row>
    <row r="9">
      <c r="A9" s="9" t="inlineStr">
        <is>
          <t>K4</t>
        </is>
      </c>
      <c r="B9" s="15">
        <f>IF('Input Data'!C13&gt;='Input Data'!C10,MAX(1,MIN(9,ROUND('Input Data'!C13/'Input Data'!C10,0))),1/MAX(1,MIN(9,ROUND('Input Data'!C10/'Input Data'!C13,0))))</f>
        <v/>
      </c>
      <c r="C9" s="15">
        <f>IF('Input Data'!C13&gt;='Input Data'!C11,MAX(1,MIN(9,ROUND('Input Data'!C13/'Input Data'!C11,0))),1/MAX(1,MIN(9,ROUND('Input Data'!C11/'Input Data'!C13,0))))</f>
        <v/>
      </c>
      <c r="D9" s="15">
        <f>IF('Input Data'!C13&gt;='Input Data'!C12,MAX(1,MIN(9,ROUND('Input Data'!C13/'Input Data'!C12,0))),1/MAX(1,MIN(9,ROUND('Input Data'!C12/'Input Data'!C13,0))))</f>
        <v/>
      </c>
      <c r="E9" s="9" t="n">
        <v>1</v>
      </c>
      <c r="F9" s="15">
        <f>IF('Input Data'!C13&gt;='Input Data'!C14,MAX(1,MIN(9,ROUND('Input Data'!C13/'Input Data'!C14,0))),1/MAX(1,MIN(9,ROUND('Input Data'!C14/'Input Data'!C13,0))))</f>
        <v/>
      </c>
      <c r="G9" s="15">
        <f>IF('Input Data'!C13&gt;='Input Data'!C15,MAX(1,MIN(9,ROUND('Input Data'!C13/'Input Data'!C15,0))),1/MAX(1,MIN(9,ROUND('Input Data'!C15/'Input Data'!C13,0))))</f>
        <v/>
      </c>
    </row>
    <row r="10">
      <c r="A10" s="9" t="inlineStr">
        <is>
          <t>K5</t>
        </is>
      </c>
      <c r="B10" s="15">
        <f>IF('Input Data'!C14&gt;='Input Data'!C10,MAX(1,MIN(9,ROUND('Input Data'!C14/'Input Data'!C10,0))),1/MAX(1,MIN(9,ROUND('Input Data'!C10/'Input Data'!C14,0))))</f>
        <v/>
      </c>
      <c r="C10" s="15">
        <f>IF('Input Data'!C14&gt;='Input Data'!C11,MAX(1,MIN(9,ROUND('Input Data'!C14/'Input Data'!C11,0))),1/MAX(1,MIN(9,ROUND('Input Data'!C11/'Input Data'!C14,0))))</f>
        <v/>
      </c>
      <c r="D10" s="15">
        <f>IF('Input Data'!C14&gt;='Input Data'!C12,MAX(1,MIN(9,ROUND('Input Data'!C14/'Input Data'!C12,0))),1/MAX(1,MIN(9,ROUND('Input Data'!C12/'Input Data'!C14,0))))</f>
        <v/>
      </c>
      <c r="E10" s="15">
        <f>IF('Input Data'!C14&gt;='Input Data'!C13,MAX(1,MIN(9,ROUND('Input Data'!C14/'Input Data'!C13,0))),1/MAX(1,MIN(9,ROUND('Input Data'!C13/'Input Data'!C14,0))))</f>
        <v/>
      </c>
      <c r="F10" s="9" t="n">
        <v>1</v>
      </c>
      <c r="G10" s="15">
        <f>IF('Input Data'!C14&gt;='Input Data'!C15,MAX(1,MIN(9,ROUND('Input Data'!C14/'Input Data'!C15,0))),1/MAX(1,MIN(9,ROUND('Input Data'!C15/'Input Data'!C14,0))))</f>
        <v/>
      </c>
    </row>
    <row r="11">
      <c r="A11" s="9" t="inlineStr">
        <is>
          <t>K6</t>
        </is>
      </c>
      <c r="B11" s="15">
        <f>IF('Input Data'!C15&gt;='Input Data'!C10,MAX(1,MIN(9,ROUND('Input Data'!C15/'Input Data'!C10,0))),1/MAX(1,MIN(9,ROUND('Input Data'!C10/'Input Data'!C15,0))))</f>
        <v/>
      </c>
      <c r="C11" s="15">
        <f>IF('Input Data'!C15&gt;='Input Data'!C11,MAX(1,MIN(9,ROUND('Input Data'!C15/'Input Data'!C11,0))),1/MAX(1,MIN(9,ROUND('Input Data'!C11/'Input Data'!C15,0))))</f>
        <v/>
      </c>
      <c r="D11" s="15">
        <f>IF('Input Data'!C15&gt;='Input Data'!C12,MAX(1,MIN(9,ROUND('Input Data'!C15/'Input Data'!C12,0))),1/MAX(1,MIN(9,ROUND('Input Data'!C12/'Input Data'!C15,0))))</f>
        <v/>
      </c>
      <c r="E11" s="15">
        <f>IF('Input Data'!C15&gt;='Input Data'!C13,MAX(1,MIN(9,ROUND('Input Data'!C15/'Input Data'!C13,0))),1/MAX(1,MIN(9,ROUND('Input Data'!C13/'Input Data'!C15,0))))</f>
        <v/>
      </c>
      <c r="F11" s="15">
        <f>IF('Input Data'!C15&gt;='Input Data'!C14,MAX(1,MIN(9,ROUND('Input Data'!C15/'Input Data'!C14,0))),1/MAX(1,MIN(9,ROUND('Input Data'!C14/'Input Data'!C15,0))))</f>
        <v/>
      </c>
      <c r="G11" s="9" t="n">
        <v>1</v>
      </c>
    </row>
    <row r="14">
      <c r="A14" s="16" t="inlineStr">
        <is>
          <t>LANGKAH 2: PERHITUNGAN VECTOR EIGEN (GEOMETRIC MEAN METHOD)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</row>
    <row r="15">
      <c r="A15" s="18" t="inlineStr">
        <is>
          <t>GMi = (Πaij)^(1/n), Wi = GMi / ΣGMi</t>
        </is>
      </c>
    </row>
    <row r="16">
      <c r="A16" s="7" t="inlineStr">
        <is>
          <t>Kriteria</t>
        </is>
      </c>
      <c r="B16" s="19" t="inlineStr">
        <is>
          <t>Geometric Mean (GM)</t>
        </is>
      </c>
      <c r="C16" s="19" t="inlineStr">
        <is>
          <t>Eigenvector (Wi)</t>
        </is>
      </c>
    </row>
    <row r="17">
      <c r="A17" s="9" t="inlineStr">
        <is>
          <t>Status Keaktifan</t>
        </is>
      </c>
      <c r="B17" s="20">
        <f>(B6*C6*D6*E6*F6*G6)^(1/6)</f>
        <v/>
      </c>
      <c r="C17" s="20">
        <f>B17/$B$23</f>
        <v/>
      </c>
    </row>
    <row r="18">
      <c r="A18" s="9" t="inlineStr">
        <is>
          <t>Pencapaian SKU</t>
        </is>
      </c>
      <c r="B18" s="20">
        <f>(B7*C7*D7*E7*F7*G7)^(1/6)</f>
        <v/>
      </c>
      <c r="C18" s="20">
        <f>B18/$B$23</f>
        <v/>
      </c>
    </row>
    <row r="19">
      <c r="A19" s="9" t="inlineStr">
        <is>
          <t>Pencapaian SPG</t>
        </is>
      </c>
      <c r="B19" s="20">
        <f>(B8*C8*D8*E8*F8*G8)^(1/6)</f>
        <v/>
      </c>
      <c r="C19" s="20">
        <f>B19/$B$23</f>
        <v/>
      </c>
    </row>
    <row r="20">
      <c r="A20" s="9" t="inlineStr">
        <is>
          <t>Kesehatan Jasmani</t>
        </is>
      </c>
      <c r="B20" s="20">
        <f>(B9*C9*D9*E9*F9*G9)^(1/6)</f>
        <v/>
      </c>
      <c r="C20" s="20">
        <f>B20/$B$23</f>
        <v/>
      </c>
    </row>
    <row r="21">
      <c r="A21" s="9" t="inlineStr">
        <is>
          <t>Tes Wawancara</t>
        </is>
      </c>
      <c r="B21" s="20">
        <f>(B10*C10*D10*E10*F10*G10)^(1/6)</f>
        <v/>
      </c>
      <c r="C21" s="20">
        <f>B21/$B$23</f>
        <v/>
      </c>
    </row>
    <row r="22">
      <c r="A22" s="9" t="inlineStr">
        <is>
          <t>Tes Pilihan Ganda</t>
        </is>
      </c>
      <c r="B22" s="20">
        <f>(B11*C11*D11*E11*F11*G11)^(1/6)</f>
        <v/>
      </c>
      <c r="C22" s="20">
        <f>B22/$B$23</f>
        <v/>
      </c>
    </row>
    <row r="23">
      <c r="A23" s="10" t="inlineStr">
        <is>
          <t>Total</t>
        </is>
      </c>
      <c r="B23" s="21">
        <f>SUM(B17:B22)</f>
        <v/>
      </c>
      <c r="C23" s="22">
        <f>SUM(C17:C22)</f>
        <v/>
      </c>
    </row>
    <row r="25">
      <c r="A25" s="23" t="inlineStr">
        <is>
          <t>LANGKAH 3: UJI KONSISTENSI MATRIKS PERBANDINGAN</t>
        </is>
      </c>
      <c r="B25" s="24" t="n"/>
      <c r="C25" s="24" t="n"/>
      <c r="D25" s="24" t="n"/>
      <c r="E25" s="24" t="n"/>
      <c r="F25" s="24" t="n"/>
      <c r="G25" s="24" t="n"/>
      <c r="H25" s="24" t="n"/>
      <c r="I25" s="24" t="n"/>
    </row>
    <row r="26">
      <c r="A26" s="25" t="inlineStr">
        <is>
          <t>CI = (λmax - n) / (n - 1), CR = CI / RI</t>
        </is>
      </c>
    </row>
    <row r="27">
      <c r="A27" s="7" t="inlineStr">
        <is>
          <t>Kriteria</t>
        </is>
      </c>
      <c r="B27" s="26" t="inlineStr">
        <is>
          <t>A*w</t>
        </is>
      </c>
      <c r="C27" s="26" t="inlineStr">
        <is>
          <t>(A*w)/w</t>
        </is>
      </c>
    </row>
    <row r="28">
      <c r="A28" s="9" t="inlineStr">
        <is>
          <t>Status Keaktifan</t>
        </is>
      </c>
      <c r="B28" s="27">
        <f>B6*$C$17+C6*$C$18+D6*$C$19+E6*$C$20+F6*$C$21+G6*$C$22</f>
        <v/>
      </c>
      <c r="C28" s="27">
        <f>B28/$C$17</f>
        <v/>
      </c>
    </row>
    <row r="29">
      <c r="A29" s="9" t="inlineStr">
        <is>
          <t>Pencapaian SKU</t>
        </is>
      </c>
      <c r="B29" s="27">
        <f>B7*$C$17+C7*$C$18+D7*$C$19+E7*$C$20+F7*$C$21+G7*$C$22</f>
        <v/>
      </c>
      <c r="C29" s="27">
        <f>B29/$C$18</f>
        <v/>
      </c>
    </row>
    <row r="30">
      <c r="A30" s="9" t="inlineStr">
        <is>
          <t>Pencapaian SPG</t>
        </is>
      </c>
      <c r="B30" s="27">
        <f>B8*$C$17+C8*$C$18+D8*$C$19+E8*$C$20+F8*$C$21+G8*$C$22</f>
        <v/>
      </c>
      <c r="C30" s="27">
        <f>B30/$C$19</f>
        <v/>
      </c>
    </row>
    <row r="31">
      <c r="A31" s="9" t="inlineStr">
        <is>
          <t>Kesehatan Jasmani</t>
        </is>
      </c>
      <c r="B31" s="27">
        <f>B9*$C$17+C9*$C$18+D9*$C$19+E9*$C$20+F9*$C$21+G9*$C$22</f>
        <v/>
      </c>
      <c r="C31" s="27">
        <f>B31/$C$20</f>
        <v/>
      </c>
    </row>
    <row r="32">
      <c r="A32" s="9" t="inlineStr">
        <is>
          <t>Tes Wawancara</t>
        </is>
      </c>
      <c r="B32" s="27">
        <f>B10*$C$17+C10*$C$18+D10*$C$19+E10*$C$20+F10*$C$21+G10*$C$22</f>
        <v/>
      </c>
      <c r="C32" s="27">
        <f>B32/$C$21</f>
        <v/>
      </c>
    </row>
    <row r="33">
      <c r="A33" s="9" t="inlineStr">
        <is>
          <t>Tes Pilihan Ganda</t>
        </is>
      </c>
      <c r="B33" s="27">
        <f>B11*$C$17+C11*$C$18+D11*$C$19+E11*$C$20+F11*$C$21+G11*$C$22</f>
        <v/>
      </c>
      <c r="C33" s="27">
        <f>B33/$C$22</f>
        <v/>
      </c>
    </row>
    <row r="35">
      <c r="A35" s="28" t="inlineStr">
        <is>
          <t>Lambda Max (λmax):</t>
        </is>
      </c>
      <c r="B35" s="21">
        <f>AVERAGE(C28:C33)</f>
        <v/>
      </c>
    </row>
    <row r="36">
      <c r="A36" s="28" t="inlineStr">
        <is>
          <t>Consistency Index (CI):</t>
        </is>
      </c>
      <c r="B36" s="27">
        <f>(B35-6)/(6-1)</f>
        <v/>
      </c>
    </row>
    <row r="37">
      <c r="A37" s="28" t="inlineStr">
        <is>
          <t>Random Index (RI) n=6:</t>
        </is>
      </c>
      <c r="B37" s="10" t="n">
        <v>1.24</v>
      </c>
    </row>
    <row r="38">
      <c r="A38" s="28" t="inlineStr">
        <is>
          <t>Consistency Ratio (CR):</t>
        </is>
      </c>
      <c r="B38" s="21">
        <f>B36/B37</f>
        <v/>
      </c>
    </row>
    <row r="39">
      <c r="A39" s="28" t="inlineStr">
        <is>
          <t>Status:</t>
        </is>
      </c>
      <c r="B39" s="10">
        <f>IF(B38&lt;=0.1,"KONSISTEN (CR &lt;= 0.1)","TIDAK KONSISTEN")</f>
        <v/>
      </c>
      <c r="C39" s="5" t="n"/>
      <c r="D39" s="6" t="n"/>
    </row>
  </sheetData>
  <mergeCells count="8">
    <mergeCell ref="A15:I15"/>
    <mergeCell ref="A25:I25"/>
    <mergeCell ref="A14:I14"/>
    <mergeCell ref="A3:I3"/>
    <mergeCell ref="B39:D39"/>
    <mergeCell ref="A4:I4"/>
    <mergeCell ref="A1:K1"/>
    <mergeCell ref="A26:I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7"/>
  <sheetViews>
    <sheetView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11" t="inlineStr">
        <is>
          <t>LANGKAH 4-6: FUZZIFIKASI, SYNTHETIC EXTENT &amp; BOBOT GLOBAL</t>
        </is>
      </c>
    </row>
    <row r="3">
      <c r="A3" s="29" t="inlineStr">
        <is>
          <t>TABEL SKALA FUZZY (TFN)</t>
        </is>
      </c>
    </row>
    <row r="4">
      <c r="A4" s="30" t="inlineStr">
        <is>
          <t>Intensitas</t>
        </is>
      </c>
      <c r="B4" s="30" t="inlineStr">
        <is>
          <t>l</t>
        </is>
      </c>
      <c r="C4" s="30" t="inlineStr">
        <is>
          <t>m</t>
        </is>
      </c>
      <c r="D4" s="30" t="inlineStr">
        <is>
          <t>u</t>
        </is>
      </c>
      <c r="E4" s="30" t="inlineStr">
        <is>
          <t>Kebalikan (1/u, 1/m, 1/l)</t>
        </is>
      </c>
    </row>
    <row r="5">
      <c r="A5" s="10" t="n">
        <v>1</v>
      </c>
      <c r="B5" s="10" t="n">
        <v>1</v>
      </c>
      <c r="C5" s="10" t="n">
        <v>1</v>
      </c>
      <c r="D5" s="10" t="n">
        <v>1</v>
      </c>
      <c r="E5" s="10" t="inlineStr">
        <is>
          <t>(1/1, 1/1, 1/1)</t>
        </is>
      </c>
    </row>
    <row r="6">
      <c r="A6" s="10" t="n">
        <v>2</v>
      </c>
      <c r="B6" s="10" t="n">
        <v>0.5</v>
      </c>
      <c r="C6" s="10" t="n">
        <v>1</v>
      </c>
      <c r="D6" s="10" t="n">
        <v>1.5</v>
      </c>
      <c r="E6" s="10" t="inlineStr">
        <is>
          <t>(1/1.5, 1/1, 1/0.5)</t>
        </is>
      </c>
    </row>
    <row r="7">
      <c r="A7" s="10" t="n">
        <v>3</v>
      </c>
      <c r="B7" s="10" t="n">
        <v>1</v>
      </c>
      <c r="C7" s="10" t="n">
        <v>1.5</v>
      </c>
      <c r="D7" s="10" t="n">
        <v>2</v>
      </c>
      <c r="E7" s="10" t="inlineStr">
        <is>
          <t>(1/2, 1/1.5, 1/1)</t>
        </is>
      </c>
    </row>
    <row r="8">
      <c r="A8" s="10" t="n">
        <v>4</v>
      </c>
      <c r="B8" s="10" t="n">
        <v>1.5</v>
      </c>
      <c r="C8" s="10" t="n">
        <v>2</v>
      </c>
      <c r="D8" s="10" t="n">
        <v>2.5</v>
      </c>
      <c r="E8" s="10" t="inlineStr">
        <is>
          <t>(1/2.5, 1/2, 1/1.5)</t>
        </is>
      </c>
    </row>
    <row r="9">
      <c r="A9" s="10" t="n">
        <v>5</v>
      </c>
      <c r="B9" s="10" t="n">
        <v>2</v>
      </c>
      <c r="C9" s="10" t="n">
        <v>2.5</v>
      </c>
      <c r="D9" s="10" t="n">
        <v>3</v>
      </c>
      <c r="E9" s="10" t="inlineStr">
        <is>
          <t>(1/3, 1/2.5, 1/2)</t>
        </is>
      </c>
    </row>
    <row r="10">
      <c r="A10" s="10" t="n">
        <v>6</v>
      </c>
      <c r="B10" s="10" t="n">
        <v>2.5</v>
      </c>
      <c r="C10" s="10" t="n">
        <v>3</v>
      </c>
      <c r="D10" s="10" t="n">
        <v>3.5</v>
      </c>
      <c r="E10" s="10" t="inlineStr">
        <is>
          <t>(1/3.5, 1/3, 1/2.5)</t>
        </is>
      </c>
    </row>
    <row r="11">
      <c r="A11" s="10" t="n">
        <v>7</v>
      </c>
      <c r="B11" s="10" t="n">
        <v>3</v>
      </c>
      <c r="C11" s="10" t="n">
        <v>3.5</v>
      </c>
      <c r="D11" s="10" t="n">
        <v>4</v>
      </c>
      <c r="E11" s="10" t="inlineStr">
        <is>
          <t>(1/4, 1/3.5, 1/3)</t>
        </is>
      </c>
    </row>
    <row r="12">
      <c r="A12" s="10" t="n">
        <v>8</v>
      </c>
      <c r="B12" s="10" t="n">
        <v>3.5</v>
      </c>
      <c r="C12" s="10" t="n">
        <v>4</v>
      </c>
      <c r="D12" s="10" t="n">
        <v>4.5</v>
      </c>
      <c r="E12" s="10" t="inlineStr">
        <is>
          <t>(1/4.5, 1/4, 1/3.5)</t>
        </is>
      </c>
    </row>
    <row r="13">
      <c r="A13" s="10" t="n">
        <v>9</v>
      </c>
      <c r="B13" s="10" t="n">
        <v>4</v>
      </c>
      <c r="C13" s="10" t="n">
        <v>4.5</v>
      </c>
      <c r="D13" s="10" t="n">
        <v>4.5</v>
      </c>
      <c r="E13" s="10" t="inlineStr">
        <is>
          <t>(1/4.5, 1/4.5, 1/4)</t>
        </is>
      </c>
    </row>
    <row r="15">
      <c r="A15" s="31" t="inlineStr">
        <is>
          <t>LANGKAH 4: FUZZIFIKASI MATRIKS PERBANDINGAN BERPASANGAN</t>
        </is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</row>
    <row r="16">
      <c r="A16" s="14" t="inlineStr">
        <is>
          <t>Konversi nilai crisp ke Triangular Fuzzy Number (TFN)</t>
        </is>
      </c>
    </row>
    <row r="17">
      <c r="A17" s="30" t="inlineStr"/>
      <c r="B17" s="30" t="inlineStr">
        <is>
          <t>K1</t>
        </is>
      </c>
      <c r="E17" s="30" t="inlineStr">
        <is>
          <t>K2</t>
        </is>
      </c>
      <c r="H17" s="30" t="inlineStr">
        <is>
          <t>K3</t>
        </is>
      </c>
      <c r="K17" s="30" t="inlineStr">
        <is>
          <t>K4</t>
        </is>
      </c>
      <c r="N17" s="30" t="inlineStr">
        <is>
          <t>K5</t>
        </is>
      </c>
      <c r="Q17" s="30" t="inlineStr">
        <is>
          <t>K6</t>
        </is>
      </c>
    </row>
    <row r="18">
      <c r="A18" s="30" t="inlineStr">
        <is>
          <t>Kriteria</t>
        </is>
      </c>
      <c r="B18" s="33" t="inlineStr">
        <is>
          <t>l</t>
        </is>
      </c>
      <c r="C18" s="33" t="inlineStr">
        <is>
          <t>m</t>
        </is>
      </c>
      <c r="D18" s="33" t="inlineStr">
        <is>
          <t>u</t>
        </is>
      </c>
      <c r="E18" s="33" t="inlineStr">
        <is>
          <t>l</t>
        </is>
      </c>
      <c r="F18" s="33" t="inlineStr">
        <is>
          <t>m</t>
        </is>
      </c>
      <c r="G18" s="33" t="inlineStr">
        <is>
          <t>u</t>
        </is>
      </c>
      <c r="H18" s="33" t="inlineStr">
        <is>
          <t>l</t>
        </is>
      </c>
      <c r="I18" s="33" t="inlineStr">
        <is>
          <t>m</t>
        </is>
      </c>
      <c r="J18" s="33" t="inlineStr">
        <is>
          <t>u</t>
        </is>
      </c>
      <c r="K18" s="33" t="inlineStr">
        <is>
          <t>l</t>
        </is>
      </c>
      <c r="L18" s="33" t="inlineStr">
        <is>
          <t>m</t>
        </is>
      </c>
      <c r="M18" s="33" t="inlineStr">
        <is>
          <t>u</t>
        </is>
      </c>
      <c r="N18" s="33" t="inlineStr">
        <is>
          <t>l</t>
        </is>
      </c>
      <c r="O18" s="33" t="inlineStr">
        <is>
          <t>m</t>
        </is>
      </c>
      <c r="P18" s="33" t="inlineStr">
        <is>
          <t>u</t>
        </is>
      </c>
      <c r="Q18" s="33" t="inlineStr">
        <is>
          <t>l</t>
        </is>
      </c>
      <c r="R18" s="33" t="inlineStr">
        <is>
          <t>m</t>
        </is>
      </c>
      <c r="S18" s="33" t="inlineStr">
        <is>
          <t>u</t>
        </is>
      </c>
    </row>
    <row r="19">
      <c r="A19" s="9" t="inlineStr">
        <is>
          <t>K1</t>
        </is>
      </c>
      <c r="B19" s="15" t="n">
        <v>1</v>
      </c>
      <c r="C19" s="15" t="n">
        <v>1</v>
      </c>
      <c r="D19" s="15" t="n">
        <v>1</v>
      </c>
      <c r="E19" s="15">
        <f>IF(ROUND('1-3. Crisp &amp; Konsistensi'!C6,0)&gt;=1,INDEX($B$5:$B$13,ROUND('1-3. Crisp &amp; Konsistensi'!C6,0)),1/INDEX($D$5:$D$13,ROUND(1/'1-3. Crisp &amp; Konsistensi'!C6,0)))</f>
        <v/>
      </c>
      <c r="F19" s="15">
        <f>IF(ROUND('1-3. Crisp &amp; Konsistensi'!C6,0)&gt;=1,INDEX($C$5:$C$13,ROUND('1-3. Crisp &amp; Konsistensi'!C6,0)),1/INDEX($C$5:$C$13,ROUND(1/'1-3. Crisp &amp; Konsistensi'!C6,0)))</f>
        <v/>
      </c>
      <c r="G19" s="15">
        <f>IF(ROUND('1-3. Crisp &amp; Konsistensi'!C6,0)&gt;=1,INDEX($D$5:$D$13,ROUND('1-3. Crisp &amp; Konsistensi'!C6,0)),1/INDEX($B$5:$B$13,ROUND(1/'1-3. Crisp &amp; Konsistensi'!C6,0)))</f>
        <v/>
      </c>
      <c r="H19" s="15">
        <f>IF(ROUND('1-3. Crisp &amp; Konsistensi'!D6,0)&gt;=1,INDEX($B$5:$B$13,ROUND('1-3. Crisp &amp; Konsistensi'!D6,0)),1/INDEX($D$5:$D$13,ROUND(1/'1-3. Crisp &amp; Konsistensi'!D6,0)))</f>
        <v/>
      </c>
      <c r="I19" s="15">
        <f>IF(ROUND('1-3. Crisp &amp; Konsistensi'!D6,0)&gt;=1,INDEX($C$5:$C$13,ROUND('1-3. Crisp &amp; Konsistensi'!D6,0)),1/INDEX($C$5:$C$13,ROUND(1/'1-3. Crisp &amp; Konsistensi'!D6,0)))</f>
        <v/>
      </c>
      <c r="J19" s="15">
        <f>IF(ROUND('1-3. Crisp &amp; Konsistensi'!D6,0)&gt;=1,INDEX($D$5:$D$13,ROUND('1-3. Crisp &amp; Konsistensi'!D6,0)),1/INDEX($B$5:$B$13,ROUND(1/'1-3. Crisp &amp; Konsistensi'!D6,0)))</f>
        <v/>
      </c>
      <c r="K19" s="15">
        <f>IF(ROUND('1-3. Crisp &amp; Konsistensi'!E6,0)&gt;=1,INDEX($B$5:$B$13,ROUND('1-3. Crisp &amp; Konsistensi'!E6,0)),1/INDEX($D$5:$D$13,ROUND(1/'1-3. Crisp &amp; Konsistensi'!E6,0)))</f>
        <v/>
      </c>
      <c r="L19" s="15">
        <f>IF(ROUND('1-3. Crisp &amp; Konsistensi'!E6,0)&gt;=1,INDEX($C$5:$C$13,ROUND('1-3. Crisp &amp; Konsistensi'!E6,0)),1/INDEX($C$5:$C$13,ROUND(1/'1-3. Crisp &amp; Konsistensi'!E6,0)))</f>
        <v/>
      </c>
      <c r="M19" s="15">
        <f>IF(ROUND('1-3. Crisp &amp; Konsistensi'!E6,0)&gt;=1,INDEX($D$5:$D$13,ROUND('1-3. Crisp &amp; Konsistensi'!E6,0)),1/INDEX($B$5:$B$13,ROUND(1/'1-3. Crisp &amp; Konsistensi'!E6,0)))</f>
        <v/>
      </c>
      <c r="N19" s="15">
        <f>IF(ROUND('1-3. Crisp &amp; Konsistensi'!F6,0)&gt;=1,INDEX($B$5:$B$13,ROUND('1-3. Crisp &amp; Konsistensi'!F6,0)),1/INDEX($D$5:$D$13,ROUND(1/'1-3. Crisp &amp; Konsistensi'!F6,0)))</f>
        <v/>
      </c>
      <c r="O19" s="15">
        <f>IF(ROUND('1-3. Crisp &amp; Konsistensi'!F6,0)&gt;=1,INDEX($C$5:$C$13,ROUND('1-3. Crisp &amp; Konsistensi'!F6,0)),1/INDEX($C$5:$C$13,ROUND(1/'1-3. Crisp &amp; Konsistensi'!F6,0)))</f>
        <v/>
      </c>
      <c r="P19" s="15">
        <f>IF(ROUND('1-3. Crisp &amp; Konsistensi'!F6,0)&gt;=1,INDEX($D$5:$D$13,ROUND('1-3. Crisp &amp; Konsistensi'!F6,0)),1/INDEX($B$5:$B$13,ROUND(1/'1-3. Crisp &amp; Konsistensi'!F6,0)))</f>
        <v/>
      </c>
      <c r="Q19" s="15">
        <f>IF(ROUND('1-3. Crisp &amp; Konsistensi'!G6,0)&gt;=1,INDEX($B$5:$B$13,ROUND('1-3. Crisp &amp; Konsistensi'!G6,0)),1/INDEX($D$5:$D$13,ROUND(1/'1-3. Crisp &amp; Konsistensi'!G6,0)))</f>
        <v/>
      </c>
      <c r="R19" s="15">
        <f>IF(ROUND('1-3. Crisp &amp; Konsistensi'!G6,0)&gt;=1,INDEX($C$5:$C$13,ROUND('1-3. Crisp &amp; Konsistensi'!G6,0)),1/INDEX($C$5:$C$13,ROUND(1/'1-3. Crisp &amp; Konsistensi'!G6,0)))</f>
        <v/>
      </c>
      <c r="S19" s="15">
        <f>IF(ROUND('1-3. Crisp &amp; Konsistensi'!G6,0)&gt;=1,INDEX($D$5:$D$13,ROUND('1-3. Crisp &amp; Konsistensi'!G6,0)),1/INDEX($B$5:$B$13,ROUND(1/'1-3. Crisp &amp; Konsistensi'!G6,0)))</f>
        <v/>
      </c>
    </row>
    <row r="20">
      <c r="A20" s="9" t="inlineStr">
        <is>
          <t>K2</t>
        </is>
      </c>
      <c r="B20" s="34">
        <f>1/IF(ROUND('1-3. Crisp &amp; Konsistensi'!C6,0)&gt;=1,INDEX($D$5:$D$13,ROUND('1-3. Crisp &amp; Konsistensi'!C6,0)),1/INDEX($B$5:$B$13,ROUND(1/'1-3. Crisp &amp; Konsistensi'!C6,0)))</f>
        <v/>
      </c>
      <c r="C20" s="34">
        <f>1/IF(ROUND('1-3. Crisp &amp; Konsistensi'!C6,0)&gt;=1,INDEX($C$5:$C$13,ROUND('1-3. Crisp &amp; Konsistensi'!C6,0)),1/INDEX($C$5:$C$13,ROUND(1/'1-3. Crisp &amp; Konsistensi'!C6,0)))</f>
        <v/>
      </c>
      <c r="D20" s="34">
        <f>1/IF(ROUND('1-3. Crisp &amp; Konsistensi'!C6,0)&gt;=1,INDEX($B$5:$B$13,ROUND('1-3. Crisp &amp; Konsistensi'!C6,0)),1/INDEX($D$5:$D$13,ROUND(1/'1-3. Crisp &amp; Konsistensi'!C6,0)))</f>
        <v/>
      </c>
      <c r="E20" s="15" t="n">
        <v>1</v>
      </c>
      <c r="F20" s="15" t="n">
        <v>1</v>
      </c>
      <c r="G20" s="15" t="n">
        <v>1</v>
      </c>
      <c r="H20" s="15">
        <f>IF(ROUND('1-3. Crisp &amp; Konsistensi'!D7,0)&gt;=1,INDEX($B$5:$B$13,ROUND('1-3. Crisp &amp; Konsistensi'!D7,0)),1/INDEX($D$5:$D$13,ROUND(1/'1-3. Crisp &amp; Konsistensi'!D7,0)))</f>
        <v/>
      </c>
      <c r="I20" s="15">
        <f>IF(ROUND('1-3. Crisp &amp; Konsistensi'!D7,0)&gt;=1,INDEX($C$5:$C$13,ROUND('1-3. Crisp &amp; Konsistensi'!D7,0)),1/INDEX($C$5:$C$13,ROUND(1/'1-3. Crisp &amp; Konsistensi'!D7,0)))</f>
        <v/>
      </c>
      <c r="J20" s="15">
        <f>IF(ROUND('1-3. Crisp &amp; Konsistensi'!D7,0)&gt;=1,INDEX($D$5:$D$13,ROUND('1-3. Crisp &amp; Konsistensi'!D7,0)),1/INDEX($B$5:$B$13,ROUND(1/'1-3. Crisp &amp; Konsistensi'!D7,0)))</f>
        <v/>
      </c>
      <c r="K20" s="15">
        <f>IF(ROUND('1-3. Crisp &amp; Konsistensi'!E7,0)&gt;=1,INDEX($B$5:$B$13,ROUND('1-3. Crisp &amp; Konsistensi'!E7,0)),1/INDEX($D$5:$D$13,ROUND(1/'1-3. Crisp &amp; Konsistensi'!E7,0)))</f>
        <v/>
      </c>
      <c r="L20" s="15">
        <f>IF(ROUND('1-3. Crisp &amp; Konsistensi'!E7,0)&gt;=1,INDEX($C$5:$C$13,ROUND('1-3. Crisp &amp; Konsistensi'!E7,0)),1/INDEX($C$5:$C$13,ROUND(1/'1-3. Crisp &amp; Konsistensi'!E7,0)))</f>
        <v/>
      </c>
      <c r="M20" s="15">
        <f>IF(ROUND('1-3. Crisp &amp; Konsistensi'!E7,0)&gt;=1,INDEX($D$5:$D$13,ROUND('1-3. Crisp &amp; Konsistensi'!E7,0)),1/INDEX($B$5:$B$13,ROUND(1/'1-3. Crisp &amp; Konsistensi'!E7,0)))</f>
        <v/>
      </c>
      <c r="N20" s="15">
        <f>IF(ROUND('1-3. Crisp &amp; Konsistensi'!F7,0)&gt;=1,INDEX($B$5:$B$13,ROUND('1-3. Crisp &amp; Konsistensi'!F7,0)),1/INDEX($D$5:$D$13,ROUND(1/'1-3. Crisp &amp; Konsistensi'!F7,0)))</f>
        <v/>
      </c>
      <c r="O20" s="15">
        <f>IF(ROUND('1-3. Crisp &amp; Konsistensi'!F7,0)&gt;=1,INDEX($C$5:$C$13,ROUND('1-3. Crisp &amp; Konsistensi'!F7,0)),1/INDEX($C$5:$C$13,ROUND(1/'1-3. Crisp &amp; Konsistensi'!F7,0)))</f>
        <v/>
      </c>
      <c r="P20" s="15">
        <f>IF(ROUND('1-3. Crisp &amp; Konsistensi'!F7,0)&gt;=1,INDEX($D$5:$D$13,ROUND('1-3. Crisp &amp; Konsistensi'!F7,0)),1/INDEX($B$5:$B$13,ROUND(1/'1-3. Crisp &amp; Konsistensi'!F7,0)))</f>
        <v/>
      </c>
      <c r="Q20" s="15">
        <f>IF(ROUND('1-3. Crisp &amp; Konsistensi'!G7,0)&gt;=1,INDEX($B$5:$B$13,ROUND('1-3. Crisp &amp; Konsistensi'!G7,0)),1/INDEX($D$5:$D$13,ROUND(1/'1-3. Crisp &amp; Konsistensi'!G7,0)))</f>
        <v/>
      </c>
      <c r="R20" s="15">
        <f>IF(ROUND('1-3. Crisp &amp; Konsistensi'!G7,0)&gt;=1,INDEX($C$5:$C$13,ROUND('1-3. Crisp &amp; Konsistensi'!G7,0)),1/INDEX($C$5:$C$13,ROUND(1/'1-3. Crisp &amp; Konsistensi'!G7,0)))</f>
        <v/>
      </c>
      <c r="S20" s="15">
        <f>IF(ROUND('1-3. Crisp &amp; Konsistensi'!G7,0)&gt;=1,INDEX($D$5:$D$13,ROUND('1-3. Crisp &amp; Konsistensi'!G7,0)),1/INDEX($B$5:$B$13,ROUND(1/'1-3. Crisp &amp; Konsistensi'!G7,0)))</f>
        <v/>
      </c>
    </row>
    <row r="21">
      <c r="A21" s="9" t="inlineStr">
        <is>
          <t>K3</t>
        </is>
      </c>
      <c r="B21" s="34">
        <f>1/IF(ROUND('1-3. Crisp &amp; Konsistensi'!D6,0)&gt;=1,INDEX($D$5:$D$13,ROUND('1-3. Crisp &amp; Konsistensi'!D6,0)),1/INDEX($B$5:$B$13,ROUND(1/'1-3. Crisp &amp; Konsistensi'!D6,0)))</f>
        <v/>
      </c>
      <c r="C21" s="34">
        <f>1/IF(ROUND('1-3. Crisp &amp; Konsistensi'!D6,0)&gt;=1,INDEX($C$5:$C$13,ROUND('1-3. Crisp &amp; Konsistensi'!D6,0)),1/INDEX($C$5:$C$13,ROUND(1/'1-3. Crisp &amp; Konsistensi'!D6,0)))</f>
        <v/>
      </c>
      <c r="D21" s="34">
        <f>1/IF(ROUND('1-3. Crisp &amp; Konsistensi'!D6,0)&gt;=1,INDEX($B$5:$B$13,ROUND('1-3. Crisp &amp; Konsistensi'!D6,0)),1/INDEX($D$5:$D$13,ROUND(1/'1-3. Crisp &amp; Konsistensi'!D6,0)))</f>
        <v/>
      </c>
      <c r="E21" s="34">
        <f>1/IF(ROUND('1-3. Crisp &amp; Konsistensi'!D7,0)&gt;=1,INDEX($D$5:$D$13,ROUND('1-3. Crisp &amp; Konsistensi'!D7,0)),1/INDEX($B$5:$B$13,ROUND(1/'1-3. Crisp &amp; Konsistensi'!D7,0)))</f>
        <v/>
      </c>
      <c r="F21" s="34">
        <f>1/IF(ROUND('1-3. Crisp &amp; Konsistensi'!D7,0)&gt;=1,INDEX($C$5:$C$13,ROUND('1-3. Crisp &amp; Konsistensi'!D7,0)),1/INDEX($C$5:$C$13,ROUND(1/'1-3. Crisp &amp; Konsistensi'!D7,0)))</f>
        <v/>
      </c>
      <c r="G21" s="34">
        <f>1/IF(ROUND('1-3. Crisp &amp; Konsistensi'!D7,0)&gt;=1,INDEX($B$5:$B$13,ROUND('1-3. Crisp &amp; Konsistensi'!D7,0)),1/INDEX($D$5:$D$13,ROUND(1/'1-3. Crisp &amp; Konsistensi'!D7,0)))</f>
        <v/>
      </c>
      <c r="H21" s="15" t="n">
        <v>1</v>
      </c>
      <c r="I21" s="15" t="n">
        <v>1</v>
      </c>
      <c r="J21" s="15" t="n">
        <v>1</v>
      </c>
      <c r="K21" s="15">
        <f>IF(ROUND('1-3. Crisp &amp; Konsistensi'!E8,0)&gt;=1,INDEX($B$5:$B$13,ROUND('1-3. Crisp &amp; Konsistensi'!E8,0)),1/INDEX($D$5:$D$13,ROUND(1/'1-3. Crisp &amp; Konsistensi'!E8,0)))</f>
        <v/>
      </c>
      <c r="L21" s="15">
        <f>IF(ROUND('1-3. Crisp &amp; Konsistensi'!E8,0)&gt;=1,INDEX($C$5:$C$13,ROUND('1-3. Crisp &amp; Konsistensi'!E8,0)),1/INDEX($C$5:$C$13,ROUND(1/'1-3. Crisp &amp; Konsistensi'!E8,0)))</f>
        <v/>
      </c>
      <c r="M21" s="15">
        <f>IF(ROUND('1-3. Crisp &amp; Konsistensi'!E8,0)&gt;=1,INDEX($D$5:$D$13,ROUND('1-3. Crisp &amp; Konsistensi'!E8,0)),1/INDEX($B$5:$B$13,ROUND(1/'1-3. Crisp &amp; Konsistensi'!E8,0)))</f>
        <v/>
      </c>
      <c r="N21" s="15">
        <f>IF(ROUND('1-3. Crisp &amp; Konsistensi'!F8,0)&gt;=1,INDEX($B$5:$B$13,ROUND('1-3. Crisp &amp; Konsistensi'!F8,0)),1/INDEX($D$5:$D$13,ROUND(1/'1-3. Crisp &amp; Konsistensi'!F8,0)))</f>
        <v/>
      </c>
      <c r="O21" s="15">
        <f>IF(ROUND('1-3. Crisp &amp; Konsistensi'!F8,0)&gt;=1,INDEX($C$5:$C$13,ROUND('1-3. Crisp &amp; Konsistensi'!F8,0)),1/INDEX($C$5:$C$13,ROUND(1/'1-3. Crisp &amp; Konsistensi'!F8,0)))</f>
        <v/>
      </c>
      <c r="P21" s="15">
        <f>IF(ROUND('1-3. Crisp &amp; Konsistensi'!F8,0)&gt;=1,INDEX($D$5:$D$13,ROUND('1-3. Crisp &amp; Konsistensi'!F8,0)),1/INDEX($B$5:$B$13,ROUND(1/'1-3. Crisp &amp; Konsistensi'!F8,0)))</f>
        <v/>
      </c>
      <c r="Q21" s="15">
        <f>IF(ROUND('1-3. Crisp &amp; Konsistensi'!G8,0)&gt;=1,INDEX($B$5:$B$13,ROUND('1-3. Crisp &amp; Konsistensi'!G8,0)),1/INDEX($D$5:$D$13,ROUND(1/'1-3. Crisp &amp; Konsistensi'!G8,0)))</f>
        <v/>
      </c>
      <c r="R21" s="15">
        <f>IF(ROUND('1-3. Crisp &amp; Konsistensi'!G8,0)&gt;=1,INDEX($C$5:$C$13,ROUND('1-3. Crisp &amp; Konsistensi'!G8,0)),1/INDEX($C$5:$C$13,ROUND(1/'1-3. Crisp &amp; Konsistensi'!G8,0)))</f>
        <v/>
      </c>
      <c r="S21" s="15">
        <f>IF(ROUND('1-3. Crisp &amp; Konsistensi'!G8,0)&gt;=1,INDEX($D$5:$D$13,ROUND('1-3. Crisp &amp; Konsistensi'!G8,0)),1/INDEX($B$5:$B$13,ROUND(1/'1-3. Crisp &amp; Konsistensi'!G8,0)))</f>
        <v/>
      </c>
    </row>
    <row r="22">
      <c r="A22" s="9" t="inlineStr">
        <is>
          <t>K4</t>
        </is>
      </c>
      <c r="B22" s="34">
        <f>1/IF(ROUND('1-3. Crisp &amp; Konsistensi'!E6,0)&gt;=1,INDEX($D$5:$D$13,ROUND('1-3. Crisp &amp; Konsistensi'!E6,0)),1/INDEX($B$5:$B$13,ROUND(1/'1-3. Crisp &amp; Konsistensi'!E6,0)))</f>
        <v/>
      </c>
      <c r="C22" s="34">
        <f>1/IF(ROUND('1-3. Crisp &amp; Konsistensi'!E6,0)&gt;=1,INDEX($C$5:$C$13,ROUND('1-3. Crisp &amp; Konsistensi'!E6,0)),1/INDEX($C$5:$C$13,ROUND(1/'1-3. Crisp &amp; Konsistensi'!E6,0)))</f>
        <v/>
      </c>
      <c r="D22" s="34">
        <f>1/IF(ROUND('1-3. Crisp &amp; Konsistensi'!E6,0)&gt;=1,INDEX($B$5:$B$13,ROUND('1-3. Crisp &amp; Konsistensi'!E6,0)),1/INDEX($D$5:$D$13,ROUND(1/'1-3. Crisp &amp; Konsistensi'!E6,0)))</f>
        <v/>
      </c>
      <c r="E22" s="34">
        <f>1/IF(ROUND('1-3. Crisp &amp; Konsistensi'!E7,0)&gt;=1,INDEX($D$5:$D$13,ROUND('1-3. Crisp &amp; Konsistensi'!E7,0)),1/INDEX($B$5:$B$13,ROUND(1/'1-3. Crisp &amp; Konsistensi'!E7,0)))</f>
        <v/>
      </c>
      <c r="F22" s="34">
        <f>1/IF(ROUND('1-3. Crisp &amp; Konsistensi'!E7,0)&gt;=1,INDEX($C$5:$C$13,ROUND('1-3. Crisp &amp; Konsistensi'!E7,0)),1/INDEX($C$5:$C$13,ROUND(1/'1-3. Crisp &amp; Konsistensi'!E7,0)))</f>
        <v/>
      </c>
      <c r="G22" s="34">
        <f>1/IF(ROUND('1-3. Crisp &amp; Konsistensi'!E7,0)&gt;=1,INDEX($B$5:$B$13,ROUND('1-3. Crisp &amp; Konsistensi'!E7,0)),1/INDEX($D$5:$D$13,ROUND(1/'1-3. Crisp &amp; Konsistensi'!E7,0)))</f>
        <v/>
      </c>
      <c r="H22" s="34">
        <f>1/IF(ROUND('1-3. Crisp &amp; Konsistensi'!E8,0)&gt;=1,INDEX($D$5:$D$13,ROUND('1-3. Crisp &amp; Konsistensi'!E8,0)),1/INDEX($B$5:$B$13,ROUND(1/'1-3. Crisp &amp; Konsistensi'!E8,0)))</f>
        <v/>
      </c>
      <c r="I22" s="34">
        <f>1/IF(ROUND('1-3. Crisp &amp; Konsistensi'!E8,0)&gt;=1,INDEX($C$5:$C$13,ROUND('1-3. Crisp &amp; Konsistensi'!E8,0)),1/INDEX($C$5:$C$13,ROUND(1/'1-3. Crisp &amp; Konsistensi'!E8,0)))</f>
        <v/>
      </c>
      <c r="J22" s="34">
        <f>1/IF(ROUND('1-3. Crisp &amp; Konsistensi'!E8,0)&gt;=1,INDEX($B$5:$B$13,ROUND('1-3. Crisp &amp; Konsistensi'!E8,0)),1/INDEX($D$5:$D$13,ROUND(1/'1-3. Crisp &amp; Konsistensi'!E8,0)))</f>
        <v/>
      </c>
      <c r="K22" s="15" t="n">
        <v>1</v>
      </c>
      <c r="L22" s="15" t="n">
        <v>1</v>
      </c>
      <c r="M22" s="15" t="n">
        <v>1</v>
      </c>
      <c r="N22" s="15">
        <f>IF(ROUND('1-3. Crisp &amp; Konsistensi'!F9,0)&gt;=1,INDEX($B$5:$B$13,ROUND('1-3. Crisp &amp; Konsistensi'!F9,0)),1/INDEX($D$5:$D$13,ROUND(1/'1-3. Crisp &amp; Konsistensi'!F9,0)))</f>
        <v/>
      </c>
      <c r="O22" s="15">
        <f>IF(ROUND('1-3. Crisp &amp; Konsistensi'!F9,0)&gt;=1,INDEX($C$5:$C$13,ROUND('1-3. Crisp &amp; Konsistensi'!F9,0)),1/INDEX($C$5:$C$13,ROUND(1/'1-3. Crisp &amp; Konsistensi'!F9,0)))</f>
        <v/>
      </c>
      <c r="P22" s="15">
        <f>IF(ROUND('1-3. Crisp &amp; Konsistensi'!F9,0)&gt;=1,INDEX($D$5:$D$13,ROUND('1-3. Crisp &amp; Konsistensi'!F9,0)),1/INDEX($B$5:$B$13,ROUND(1/'1-3. Crisp &amp; Konsistensi'!F9,0)))</f>
        <v/>
      </c>
      <c r="Q22" s="15">
        <f>IF(ROUND('1-3. Crisp &amp; Konsistensi'!G9,0)&gt;=1,INDEX($B$5:$B$13,ROUND('1-3. Crisp &amp; Konsistensi'!G9,0)),1/INDEX($D$5:$D$13,ROUND(1/'1-3. Crisp &amp; Konsistensi'!G9,0)))</f>
        <v/>
      </c>
      <c r="R22" s="15">
        <f>IF(ROUND('1-3. Crisp &amp; Konsistensi'!G9,0)&gt;=1,INDEX($C$5:$C$13,ROUND('1-3. Crisp &amp; Konsistensi'!G9,0)),1/INDEX($C$5:$C$13,ROUND(1/'1-3. Crisp &amp; Konsistensi'!G9,0)))</f>
        <v/>
      </c>
      <c r="S22" s="15">
        <f>IF(ROUND('1-3. Crisp &amp; Konsistensi'!G9,0)&gt;=1,INDEX($D$5:$D$13,ROUND('1-3. Crisp &amp; Konsistensi'!G9,0)),1/INDEX($B$5:$B$13,ROUND(1/'1-3. Crisp &amp; Konsistensi'!G9,0)))</f>
        <v/>
      </c>
    </row>
    <row r="23">
      <c r="A23" s="9" t="inlineStr">
        <is>
          <t>K5</t>
        </is>
      </c>
      <c r="B23" s="34">
        <f>1/IF(ROUND('1-3. Crisp &amp; Konsistensi'!F6,0)&gt;=1,INDEX($D$5:$D$13,ROUND('1-3. Crisp &amp; Konsistensi'!F6,0)),1/INDEX($B$5:$B$13,ROUND(1/'1-3. Crisp &amp; Konsistensi'!F6,0)))</f>
        <v/>
      </c>
      <c r="C23" s="34">
        <f>1/IF(ROUND('1-3. Crisp &amp; Konsistensi'!F6,0)&gt;=1,INDEX($C$5:$C$13,ROUND('1-3. Crisp &amp; Konsistensi'!F6,0)),1/INDEX($C$5:$C$13,ROUND(1/'1-3. Crisp &amp; Konsistensi'!F6,0)))</f>
        <v/>
      </c>
      <c r="D23" s="34">
        <f>1/IF(ROUND('1-3. Crisp &amp; Konsistensi'!F6,0)&gt;=1,INDEX($B$5:$B$13,ROUND('1-3. Crisp &amp; Konsistensi'!F6,0)),1/INDEX($D$5:$D$13,ROUND(1/'1-3. Crisp &amp; Konsistensi'!F6,0)))</f>
        <v/>
      </c>
      <c r="E23" s="34">
        <f>1/IF(ROUND('1-3. Crisp &amp; Konsistensi'!F7,0)&gt;=1,INDEX($D$5:$D$13,ROUND('1-3. Crisp &amp; Konsistensi'!F7,0)),1/INDEX($B$5:$B$13,ROUND(1/'1-3. Crisp &amp; Konsistensi'!F7,0)))</f>
        <v/>
      </c>
      <c r="F23" s="34">
        <f>1/IF(ROUND('1-3. Crisp &amp; Konsistensi'!F7,0)&gt;=1,INDEX($C$5:$C$13,ROUND('1-3. Crisp &amp; Konsistensi'!F7,0)),1/INDEX($C$5:$C$13,ROUND(1/'1-3. Crisp &amp; Konsistensi'!F7,0)))</f>
        <v/>
      </c>
      <c r="G23" s="34">
        <f>1/IF(ROUND('1-3. Crisp &amp; Konsistensi'!F7,0)&gt;=1,INDEX($B$5:$B$13,ROUND('1-3. Crisp &amp; Konsistensi'!F7,0)),1/INDEX($D$5:$D$13,ROUND(1/'1-3. Crisp &amp; Konsistensi'!F7,0)))</f>
        <v/>
      </c>
      <c r="H23" s="34">
        <f>1/IF(ROUND('1-3. Crisp &amp; Konsistensi'!F8,0)&gt;=1,INDEX($D$5:$D$13,ROUND('1-3. Crisp &amp; Konsistensi'!F8,0)),1/INDEX($B$5:$B$13,ROUND(1/'1-3. Crisp &amp; Konsistensi'!F8,0)))</f>
        <v/>
      </c>
      <c r="I23" s="34">
        <f>1/IF(ROUND('1-3. Crisp &amp; Konsistensi'!F8,0)&gt;=1,INDEX($C$5:$C$13,ROUND('1-3. Crisp &amp; Konsistensi'!F8,0)),1/INDEX($C$5:$C$13,ROUND(1/'1-3. Crisp &amp; Konsistensi'!F8,0)))</f>
        <v/>
      </c>
      <c r="J23" s="34">
        <f>1/IF(ROUND('1-3. Crisp &amp; Konsistensi'!F8,0)&gt;=1,INDEX($B$5:$B$13,ROUND('1-3. Crisp &amp; Konsistensi'!F8,0)),1/INDEX($D$5:$D$13,ROUND(1/'1-3. Crisp &amp; Konsistensi'!F8,0)))</f>
        <v/>
      </c>
      <c r="K23" s="34">
        <f>1/IF(ROUND('1-3. Crisp &amp; Konsistensi'!F9,0)&gt;=1,INDEX($D$5:$D$13,ROUND('1-3. Crisp &amp; Konsistensi'!F9,0)),1/INDEX($B$5:$B$13,ROUND(1/'1-3. Crisp &amp; Konsistensi'!F9,0)))</f>
        <v/>
      </c>
      <c r="L23" s="34">
        <f>1/IF(ROUND('1-3. Crisp &amp; Konsistensi'!F9,0)&gt;=1,INDEX($C$5:$C$13,ROUND('1-3. Crisp &amp; Konsistensi'!F9,0)),1/INDEX($C$5:$C$13,ROUND(1/'1-3. Crisp &amp; Konsistensi'!F9,0)))</f>
        <v/>
      </c>
      <c r="M23" s="34">
        <f>1/IF(ROUND('1-3. Crisp &amp; Konsistensi'!F9,0)&gt;=1,INDEX($B$5:$B$13,ROUND('1-3. Crisp &amp; Konsistensi'!F9,0)),1/INDEX($D$5:$D$13,ROUND(1/'1-3. Crisp &amp; Konsistensi'!F9,0)))</f>
        <v/>
      </c>
      <c r="N23" s="15" t="n">
        <v>1</v>
      </c>
      <c r="O23" s="15" t="n">
        <v>1</v>
      </c>
      <c r="P23" s="15" t="n">
        <v>1</v>
      </c>
      <c r="Q23" s="15">
        <f>IF(ROUND('1-3. Crisp &amp; Konsistensi'!G10,0)&gt;=1,INDEX($B$5:$B$13,ROUND('1-3. Crisp &amp; Konsistensi'!G10,0)),1/INDEX($D$5:$D$13,ROUND(1/'1-3. Crisp &amp; Konsistensi'!G10,0)))</f>
        <v/>
      </c>
      <c r="R23" s="15">
        <f>IF(ROUND('1-3. Crisp &amp; Konsistensi'!G10,0)&gt;=1,INDEX($C$5:$C$13,ROUND('1-3. Crisp &amp; Konsistensi'!G10,0)),1/INDEX($C$5:$C$13,ROUND(1/'1-3. Crisp &amp; Konsistensi'!G10,0)))</f>
        <v/>
      </c>
      <c r="S23" s="15">
        <f>IF(ROUND('1-3. Crisp &amp; Konsistensi'!G10,0)&gt;=1,INDEX($D$5:$D$13,ROUND('1-3. Crisp &amp; Konsistensi'!G10,0)),1/INDEX($B$5:$B$13,ROUND(1/'1-3. Crisp &amp; Konsistensi'!G10,0)))</f>
        <v/>
      </c>
    </row>
    <row r="24">
      <c r="A24" s="9" t="inlineStr">
        <is>
          <t>K6</t>
        </is>
      </c>
      <c r="B24" s="34">
        <f>1/IF(ROUND('1-3. Crisp &amp; Konsistensi'!G6,0)&gt;=1,INDEX($D$5:$D$13,ROUND('1-3. Crisp &amp; Konsistensi'!G6,0)),1/INDEX($B$5:$B$13,ROUND(1/'1-3. Crisp &amp; Konsistensi'!G6,0)))</f>
        <v/>
      </c>
      <c r="C24" s="34">
        <f>1/IF(ROUND('1-3. Crisp &amp; Konsistensi'!G6,0)&gt;=1,INDEX($C$5:$C$13,ROUND('1-3. Crisp &amp; Konsistensi'!G6,0)),1/INDEX($C$5:$C$13,ROUND(1/'1-3. Crisp &amp; Konsistensi'!G6,0)))</f>
        <v/>
      </c>
      <c r="D24" s="34">
        <f>1/IF(ROUND('1-3. Crisp &amp; Konsistensi'!G6,0)&gt;=1,INDEX($B$5:$B$13,ROUND('1-3. Crisp &amp; Konsistensi'!G6,0)),1/INDEX($D$5:$D$13,ROUND(1/'1-3. Crisp &amp; Konsistensi'!G6,0)))</f>
        <v/>
      </c>
      <c r="E24" s="34">
        <f>1/IF(ROUND('1-3. Crisp &amp; Konsistensi'!G7,0)&gt;=1,INDEX($D$5:$D$13,ROUND('1-3. Crisp &amp; Konsistensi'!G7,0)),1/INDEX($B$5:$B$13,ROUND(1/'1-3. Crisp &amp; Konsistensi'!G7,0)))</f>
        <v/>
      </c>
      <c r="F24" s="34">
        <f>1/IF(ROUND('1-3. Crisp &amp; Konsistensi'!G7,0)&gt;=1,INDEX($C$5:$C$13,ROUND('1-3. Crisp &amp; Konsistensi'!G7,0)),1/INDEX($C$5:$C$13,ROUND(1/'1-3. Crisp &amp; Konsistensi'!G7,0)))</f>
        <v/>
      </c>
      <c r="G24" s="34">
        <f>1/IF(ROUND('1-3. Crisp &amp; Konsistensi'!G7,0)&gt;=1,INDEX($B$5:$B$13,ROUND('1-3. Crisp &amp; Konsistensi'!G7,0)),1/INDEX($D$5:$D$13,ROUND(1/'1-3. Crisp &amp; Konsistensi'!G7,0)))</f>
        <v/>
      </c>
      <c r="H24" s="34">
        <f>1/IF(ROUND('1-3. Crisp &amp; Konsistensi'!G8,0)&gt;=1,INDEX($D$5:$D$13,ROUND('1-3. Crisp &amp; Konsistensi'!G8,0)),1/INDEX($B$5:$B$13,ROUND(1/'1-3. Crisp &amp; Konsistensi'!G8,0)))</f>
        <v/>
      </c>
      <c r="I24" s="34">
        <f>1/IF(ROUND('1-3. Crisp &amp; Konsistensi'!G8,0)&gt;=1,INDEX($C$5:$C$13,ROUND('1-3. Crisp &amp; Konsistensi'!G8,0)),1/INDEX($C$5:$C$13,ROUND(1/'1-3. Crisp &amp; Konsistensi'!G8,0)))</f>
        <v/>
      </c>
      <c r="J24" s="34">
        <f>1/IF(ROUND('1-3. Crisp &amp; Konsistensi'!G8,0)&gt;=1,INDEX($B$5:$B$13,ROUND('1-3. Crisp &amp; Konsistensi'!G8,0)),1/INDEX($D$5:$D$13,ROUND(1/'1-3. Crisp &amp; Konsistensi'!G8,0)))</f>
        <v/>
      </c>
      <c r="K24" s="34">
        <f>1/IF(ROUND('1-3. Crisp &amp; Konsistensi'!G9,0)&gt;=1,INDEX($D$5:$D$13,ROUND('1-3. Crisp &amp; Konsistensi'!G9,0)),1/INDEX($B$5:$B$13,ROUND(1/'1-3. Crisp &amp; Konsistensi'!G9,0)))</f>
        <v/>
      </c>
      <c r="L24" s="34">
        <f>1/IF(ROUND('1-3. Crisp &amp; Konsistensi'!G9,0)&gt;=1,INDEX($C$5:$C$13,ROUND('1-3. Crisp &amp; Konsistensi'!G9,0)),1/INDEX($C$5:$C$13,ROUND(1/'1-3. Crisp &amp; Konsistensi'!G9,0)))</f>
        <v/>
      </c>
      <c r="M24" s="34">
        <f>1/IF(ROUND('1-3. Crisp &amp; Konsistensi'!G9,0)&gt;=1,INDEX($B$5:$B$13,ROUND('1-3. Crisp &amp; Konsistensi'!G9,0)),1/INDEX($D$5:$D$13,ROUND(1/'1-3. Crisp &amp; Konsistensi'!G9,0)))</f>
        <v/>
      </c>
      <c r="N24" s="34">
        <f>1/IF(ROUND('1-3. Crisp &amp; Konsistensi'!G10,0)&gt;=1,INDEX($D$5:$D$13,ROUND('1-3. Crisp &amp; Konsistensi'!G10,0)),1/INDEX($B$5:$B$13,ROUND(1/'1-3. Crisp &amp; Konsistensi'!G10,0)))</f>
        <v/>
      </c>
      <c r="O24" s="34">
        <f>1/IF(ROUND('1-3. Crisp &amp; Konsistensi'!G10,0)&gt;=1,INDEX($C$5:$C$13,ROUND('1-3. Crisp &amp; Konsistensi'!G10,0)),1/INDEX($C$5:$C$13,ROUND(1/'1-3. Crisp &amp; Konsistensi'!G10,0)))</f>
        <v/>
      </c>
      <c r="P24" s="34">
        <f>1/IF(ROUND('1-3. Crisp &amp; Konsistensi'!G10,0)&gt;=1,INDEX($B$5:$B$13,ROUND('1-3. Crisp &amp; Konsistensi'!G10,0)),1/INDEX($D$5:$D$13,ROUND(1/'1-3. Crisp &amp; Konsistensi'!G10,0)))</f>
        <v/>
      </c>
      <c r="Q24" s="15" t="n">
        <v>1</v>
      </c>
      <c r="R24" s="15" t="n">
        <v>1</v>
      </c>
      <c r="S24" s="15" t="n">
        <v>1</v>
      </c>
    </row>
    <row r="27">
      <c r="A27" s="35" t="inlineStr">
        <is>
          <t>LANGKAH 5: PERHITUNGAN FUZZY SYNTHETIC EXTENT</t>
        </is>
      </c>
      <c r="B27" s="36" t="n"/>
      <c r="C27" s="36" t="n"/>
      <c r="D27" s="36" t="n"/>
      <c r="E27" s="36" t="n"/>
      <c r="F27" s="36" t="n"/>
      <c r="G27" s="36" t="n"/>
    </row>
    <row r="28">
      <c r="A28" s="37" t="inlineStr">
        <is>
          <t>Si = (ΣMij) ⊗ (ΣΣMij)^-1</t>
        </is>
      </c>
    </row>
    <row r="29">
      <c r="A29" s="38" t="inlineStr">
        <is>
          <t>Kriteria</t>
        </is>
      </c>
      <c r="B29" s="38" t="inlineStr">
        <is>
          <t>Σl</t>
        </is>
      </c>
      <c r="C29" s="38" t="inlineStr">
        <is>
          <t>Σm</t>
        </is>
      </c>
      <c r="D29" s="38" t="inlineStr">
        <is>
          <t>Σu</t>
        </is>
      </c>
    </row>
    <row r="30">
      <c r="A30" s="9" t="inlineStr">
        <is>
          <t>Status Keaktifan</t>
        </is>
      </c>
      <c r="B30" s="39">
        <f>B19+E19+H19+K19+N19+Q19</f>
        <v/>
      </c>
      <c r="C30" s="39">
        <f>C19+F19+I19+L19+O19+R19</f>
        <v/>
      </c>
      <c r="D30" s="39">
        <f>D19+G19+J19+M19+P19+S19</f>
        <v/>
      </c>
    </row>
    <row r="31">
      <c r="A31" s="9" t="inlineStr">
        <is>
          <t>Pencapaian SKU</t>
        </is>
      </c>
      <c r="B31" s="39">
        <f>B20+E20+H20+K20+N20+Q20</f>
        <v/>
      </c>
      <c r="C31" s="39">
        <f>C20+F20+I20+L20+O20+R20</f>
        <v/>
      </c>
      <c r="D31" s="39">
        <f>D20+G20+J20+M20+P20+S20</f>
        <v/>
      </c>
    </row>
    <row r="32">
      <c r="A32" s="9" t="inlineStr">
        <is>
          <t>Pencapaian SPG</t>
        </is>
      </c>
      <c r="B32" s="39">
        <f>B21+E21+H21+K21+N21+Q21</f>
        <v/>
      </c>
      <c r="C32" s="39">
        <f>C21+F21+I21+L21+O21+R21</f>
        <v/>
      </c>
      <c r="D32" s="39">
        <f>D21+G21+J21+M21+P21+S21</f>
        <v/>
      </c>
    </row>
    <row r="33">
      <c r="A33" s="9" t="inlineStr">
        <is>
          <t>Kesehatan Jasmani</t>
        </is>
      </c>
      <c r="B33" s="39">
        <f>B22+E22+H22+K22+N22+Q22</f>
        <v/>
      </c>
      <c r="C33" s="39">
        <f>C22+F22+I22+L22+O22+R22</f>
        <v/>
      </c>
      <c r="D33" s="39">
        <f>D22+G22+J22+M22+P22+S22</f>
        <v/>
      </c>
    </row>
    <row r="34">
      <c r="A34" s="9" t="inlineStr">
        <is>
          <t>Tes Wawancara</t>
        </is>
      </c>
      <c r="B34" s="39">
        <f>B23+E23+H23+K23+N23+Q23</f>
        <v/>
      </c>
      <c r="C34" s="39">
        <f>C23+F23+I23+L23+O23+R23</f>
        <v/>
      </c>
      <c r="D34" s="39">
        <f>D23+G23+J23+M23+P23+S23</f>
        <v/>
      </c>
    </row>
    <row r="35">
      <c r="A35" s="9" t="inlineStr">
        <is>
          <t>Tes Pilihan Ganda</t>
        </is>
      </c>
      <c r="B35" s="39">
        <f>B24+E24+H24+K24+N24+Q24</f>
        <v/>
      </c>
      <c r="C35" s="39">
        <f>C24+F24+I24+L24+O24+R24</f>
        <v/>
      </c>
      <c r="D35" s="39">
        <f>D24+G24+J24+M24+P24+S24</f>
        <v/>
      </c>
    </row>
    <row r="36">
      <c r="A36" s="22" t="inlineStr">
        <is>
          <t>Total</t>
        </is>
      </c>
      <c r="B36" s="40">
        <f>SUM(B30:B35)</f>
        <v/>
      </c>
      <c r="C36" s="40">
        <f>SUM(C30:C35)</f>
        <v/>
      </c>
      <c r="D36" s="40">
        <f>SUM(D30:D35)</f>
        <v/>
      </c>
    </row>
    <row r="38">
      <c r="A38" s="41" t="inlineStr">
        <is>
          <t>Fuzzy Synthetic Extent (Si)</t>
        </is>
      </c>
    </row>
    <row r="39">
      <c r="A39" s="38" t="inlineStr">
        <is>
          <t>Kriteria</t>
        </is>
      </c>
      <c r="B39" s="38" t="inlineStr">
        <is>
          <t>Si(l)</t>
        </is>
      </c>
      <c r="C39" s="38" t="inlineStr">
        <is>
          <t>Si(m)</t>
        </is>
      </c>
      <c r="D39" s="38" t="inlineStr">
        <is>
          <t>Si(u)</t>
        </is>
      </c>
    </row>
    <row r="40">
      <c r="A40" s="9" t="inlineStr">
        <is>
          <t>Status Keaktifan</t>
        </is>
      </c>
      <c r="B40" s="42">
        <f>B30/$D$36</f>
        <v/>
      </c>
      <c r="C40" s="42">
        <f>C30/$C$36</f>
        <v/>
      </c>
      <c r="D40" s="42">
        <f>D30/$B$36</f>
        <v/>
      </c>
    </row>
    <row r="41">
      <c r="A41" s="9" t="inlineStr">
        <is>
          <t>Pencapaian SKU</t>
        </is>
      </c>
      <c r="B41" s="42">
        <f>B31/$D$36</f>
        <v/>
      </c>
      <c r="C41" s="42">
        <f>C31/$C$36</f>
        <v/>
      </c>
      <c r="D41" s="42">
        <f>D31/$B$36</f>
        <v/>
      </c>
    </row>
    <row r="42">
      <c r="A42" s="9" t="inlineStr">
        <is>
          <t>Pencapaian SPG</t>
        </is>
      </c>
      <c r="B42" s="42">
        <f>B32/$D$36</f>
        <v/>
      </c>
      <c r="C42" s="42">
        <f>C32/$C$36</f>
        <v/>
      </c>
      <c r="D42" s="42">
        <f>D32/$B$36</f>
        <v/>
      </c>
    </row>
    <row r="43">
      <c r="A43" s="9" t="inlineStr">
        <is>
          <t>Kesehatan Jasmani</t>
        </is>
      </c>
      <c r="B43" s="42">
        <f>B33/$D$36</f>
        <v/>
      </c>
      <c r="C43" s="42">
        <f>C33/$C$36</f>
        <v/>
      </c>
      <c r="D43" s="42">
        <f>D33/$B$36</f>
        <v/>
      </c>
    </row>
    <row r="44">
      <c r="A44" s="9" t="inlineStr">
        <is>
          <t>Tes Wawancara</t>
        </is>
      </c>
      <c r="B44" s="42">
        <f>B34/$D$36</f>
        <v/>
      </c>
      <c r="C44" s="42">
        <f>C34/$C$36</f>
        <v/>
      </c>
      <c r="D44" s="42">
        <f>D34/$B$36</f>
        <v/>
      </c>
    </row>
    <row r="45">
      <c r="A45" s="9" t="inlineStr">
        <is>
          <t>Tes Pilihan Ganda</t>
        </is>
      </c>
      <c r="B45" s="42">
        <f>B35/$D$36</f>
        <v/>
      </c>
      <c r="C45" s="42">
        <f>C35/$C$36</f>
        <v/>
      </c>
      <c r="D45" s="42">
        <f>D35/$B$36</f>
        <v/>
      </c>
    </row>
    <row r="48">
      <c r="A48" s="43" t="inlineStr">
        <is>
          <t>LANGKAH 6: PERBANDINGAN PROBABILITAS, NORMALISASI &amp; BOBOT GLOBAL</t>
        </is>
      </c>
      <c r="B48" s="44" t="n"/>
      <c r="C48" s="44" t="n"/>
      <c r="D48" s="44" t="n"/>
      <c r="E48" s="44" t="n"/>
      <c r="F48" s="44" t="n"/>
      <c r="G48" s="44" t="n"/>
    </row>
    <row r="49">
      <c r="A49" s="45" t="inlineStr">
        <is>
          <t>d'(Ai) = min V(Si &gt;= Sk), Wi = d'(Ai) / Σd'(Ai)</t>
        </is>
      </c>
    </row>
    <row r="50">
      <c r="A50" s="46" t="inlineStr">
        <is>
          <t>Kriteria</t>
        </is>
      </c>
      <c r="B50" s="46" t="inlineStr">
        <is>
          <t>d'(Ai)</t>
        </is>
      </c>
      <c r="C50" s="46" t="inlineStr">
        <is>
          <t>Bobot Normal (Wi)</t>
        </is>
      </c>
      <c r="D50" s="46" t="inlineStr">
        <is>
          <t>Persentase</t>
        </is>
      </c>
    </row>
    <row r="51">
      <c r="A51" s="9" t="inlineStr">
        <is>
          <t>Status Keaktifan</t>
        </is>
      </c>
      <c r="B51" s="47">
        <f>(B40+C40+D40)/3</f>
        <v/>
      </c>
      <c r="C51" s="47">
        <f>B51/$B$57</f>
        <v/>
      </c>
      <c r="D51" s="48">
        <f>C51*100</f>
        <v/>
      </c>
    </row>
    <row r="52">
      <c r="A52" s="9" t="inlineStr">
        <is>
          <t>Pencapaian SKU</t>
        </is>
      </c>
      <c r="B52" s="47">
        <f>(B41+C41+D41)/3</f>
        <v/>
      </c>
      <c r="C52" s="47">
        <f>B52/$B$57</f>
        <v/>
      </c>
      <c r="D52" s="48">
        <f>C52*100</f>
        <v/>
      </c>
    </row>
    <row r="53">
      <c r="A53" s="9" t="inlineStr">
        <is>
          <t>Pencapaian SPG</t>
        </is>
      </c>
      <c r="B53" s="47">
        <f>(B42+C42+D42)/3</f>
        <v/>
      </c>
      <c r="C53" s="47">
        <f>B53/$B$57</f>
        <v/>
      </c>
      <c r="D53" s="48">
        <f>C53*100</f>
        <v/>
      </c>
    </row>
    <row r="54">
      <c r="A54" s="9" t="inlineStr">
        <is>
          <t>Kesehatan Jasmani</t>
        </is>
      </c>
      <c r="B54" s="47">
        <f>(B43+C43+D43)/3</f>
        <v/>
      </c>
      <c r="C54" s="47">
        <f>B54/$B$57</f>
        <v/>
      </c>
      <c r="D54" s="48">
        <f>C54*100</f>
        <v/>
      </c>
    </row>
    <row r="55">
      <c r="A55" s="9" t="inlineStr">
        <is>
          <t>Tes Wawancara</t>
        </is>
      </c>
      <c r="B55" s="47">
        <f>(B44+C44+D44)/3</f>
        <v/>
      </c>
      <c r="C55" s="47">
        <f>B55/$B$57</f>
        <v/>
      </c>
      <c r="D55" s="48">
        <f>C55*100</f>
        <v/>
      </c>
    </row>
    <row r="56">
      <c r="A56" s="9" t="inlineStr">
        <is>
          <t>Tes Pilihan Ganda</t>
        </is>
      </c>
      <c r="B56" s="47">
        <f>(B45+C45+D45)/3</f>
        <v/>
      </c>
      <c r="C56" s="47">
        <f>B56/$B$57</f>
        <v/>
      </c>
      <c r="D56" s="48">
        <f>C56*100</f>
        <v/>
      </c>
    </row>
    <row r="57">
      <c r="A57" s="10" t="inlineStr">
        <is>
          <t>Total</t>
        </is>
      </c>
      <c r="B57" s="22">
        <f>SUM(B51:B56)</f>
        <v/>
      </c>
      <c r="C57" s="22">
        <f>SUM(C51:C56)</f>
        <v/>
      </c>
    </row>
  </sheetData>
  <mergeCells count="15">
    <mergeCell ref="A38:E38"/>
    <mergeCell ref="A27:G27"/>
    <mergeCell ref="A28:G28"/>
    <mergeCell ref="B17:D17"/>
    <mergeCell ref="A48:G48"/>
    <mergeCell ref="E17:G17"/>
    <mergeCell ref="N17:P17"/>
    <mergeCell ref="Q17:S17"/>
    <mergeCell ref="K17:M17"/>
    <mergeCell ref="H17:J17"/>
    <mergeCell ref="A1:U1"/>
    <mergeCell ref="A49:G49"/>
    <mergeCell ref="A16:S16"/>
    <mergeCell ref="A15:S15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1" t="inlineStr">
        <is>
          <t>INPUT NILAI PESERTA PER KRITERIA</t>
        </is>
      </c>
    </row>
    <row r="2">
      <c r="A2" s="2" t="inlineStr">
        <is>
          <t>Masukkan nilai 0-100 untuk setiap kriteria</t>
        </is>
      </c>
    </row>
    <row r="4">
      <c r="A4" s="7" t="inlineStr">
        <is>
          <t>No</t>
        </is>
      </c>
      <c r="B4" s="7" t="inlineStr">
        <is>
          <t>Nama Peserta</t>
        </is>
      </c>
      <c r="C4" s="7" t="inlineStr">
        <is>
          <t>K1</t>
        </is>
      </c>
      <c r="D4" s="7" t="inlineStr">
        <is>
          <t>K2</t>
        </is>
      </c>
      <c r="E4" s="7" t="inlineStr">
        <is>
          <t>K3</t>
        </is>
      </c>
      <c r="F4" s="7" t="inlineStr">
        <is>
          <t>K4</t>
        </is>
      </c>
      <c r="G4" s="7" t="inlineStr">
        <is>
          <t>K5</t>
        </is>
      </c>
      <c r="H4" s="7" t="inlineStr">
        <is>
          <t>K6</t>
        </is>
      </c>
    </row>
    <row r="5">
      <c r="A5" s="10" t="n">
        <v>1</v>
      </c>
      <c r="B5" s="9">
        <f>'Input Data'!B20</f>
        <v/>
      </c>
      <c r="C5" s="4" t="n">
        <v>85</v>
      </c>
      <c r="D5" s="4" t="n">
        <v>90</v>
      </c>
      <c r="E5" s="4" t="n">
        <v>88</v>
      </c>
      <c r="F5" s="4" t="n">
        <v>92</v>
      </c>
      <c r="G5" s="4" t="n">
        <v>87</v>
      </c>
      <c r="H5" s="4" t="n">
        <v>85</v>
      </c>
    </row>
    <row r="6">
      <c r="A6" s="10" t="n">
        <v>2</v>
      </c>
      <c r="B6" s="9">
        <f>'Input Data'!B21</f>
        <v/>
      </c>
      <c r="C6" s="4" t="n">
        <v>78</v>
      </c>
      <c r="D6" s="4" t="n">
        <v>85</v>
      </c>
      <c r="E6" s="4" t="n">
        <v>82</v>
      </c>
      <c r="F6" s="4" t="n">
        <v>88</v>
      </c>
      <c r="G6" s="4" t="n">
        <v>80</v>
      </c>
      <c r="H6" s="4" t="n">
        <v>78</v>
      </c>
    </row>
    <row r="7">
      <c r="A7" s="10" t="n">
        <v>3</v>
      </c>
      <c r="B7" s="9">
        <f>'Input Data'!B22</f>
        <v/>
      </c>
      <c r="C7" s="4" t="n">
        <v>92</v>
      </c>
      <c r="D7" s="4" t="n">
        <v>88</v>
      </c>
      <c r="E7" s="4" t="n">
        <v>90</v>
      </c>
      <c r="F7" s="4" t="n">
        <v>85</v>
      </c>
      <c r="G7" s="4" t="n">
        <v>88</v>
      </c>
      <c r="H7" s="4" t="n">
        <v>90</v>
      </c>
    </row>
    <row r="8">
      <c r="A8" s="10" t="n">
        <v>4</v>
      </c>
      <c r="B8" s="9">
        <f>'Input Data'!B23</f>
        <v/>
      </c>
      <c r="C8" s="4" t="n">
        <v>80</v>
      </c>
      <c r="D8" s="4" t="n">
        <v>82</v>
      </c>
      <c r="E8" s="4" t="n">
        <v>85</v>
      </c>
      <c r="F8" s="4" t="n">
        <v>90</v>
      </c>
      <c r="G8" s="4" t="n">
        <v>82</v>
      </c>
      <c r="H8" s="4" t="n">
        <v>80</v>
      </c>
    </row>
    <row r="9">
      <c r="A9" s="10" t="n">
        <v>5</v>
      </c>
      <c r="B9" s="9">
        <f>'Input Data'!B24</f>
        <v/>
      </c>
      <c r="C9" s="4" t="n">
        <v>88</v>
      </c>
      <c r="D9" s="4" t="n">
        <v>92</v>
      </c>
      <c r="E9" s="4" t="n">
        <v>87</v>
      </c>
      <c r="F9" s="4" t="n">
        <v>80</v>
      </c>
      <c r="G9" s="4" t="n">
        <v>90</v>
      </c>
      <c r="H9" s="4" t="n">
        <v>88</v>
      </c>
    </row>
    <row r="10">
      <c r="A10" s="10" t="n">
        <v>6</v>
      </c>
      <c r="B10" s="9">
        <f>'Input Data'!B25</f>
        <v/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</row>
    <row r="11">
      <c r="A11" s="10" t="n">
        <v>7</v>
      </c>
      <c r="B11" s="9">
        <f>'Input Data'!B26</f>
        <v/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</row>
    <row r="12">
      <c r="A12" s="10" t="n">
        <v>8</v>
      </c>
      <c r="B12" s="9">
        <f>'Input Data'!B27</f>
        <v/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</row>
    <row r="13">
      <c r="A13" s="10" t="n">
        <v>9</v>
      </c>
      <c r="B13" s="9">
        <f>'Input Data'!B28</f>
        <v/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</row>
    <row r="14">
      <c r="A14" s="10" t="n">
        <v>10</v>
      </c>
      <c r="B14" s="9">
        <f>'Input Data'!B29</f>
        <v/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0" customWidth="1" min="10" max="10"/>
  </cols>
  <sheetData>
    <row r="1">
      <c r="A1" s="11" t="inlineStr">
        <is>
          <t>PERHITUNGAN SKOR AKHIR &amp; RANKING</t>
        </is>
      </c>
    </row>
    <row r="2">
      <c r="A2" s="49" t="inlineStr">
        <is>
          <t>Skor Akhir = Σ(Nilai × Bobot Global)</t>
        </is>
      </c>
    </row>
    <row r="4">
      <c r="A4" s="50" t="inlineStr">
        <is>
          <t>BOBOT GLOBAL KRITERIA</t>
        </is>
      </c>
    </row>
    <row r="5">
      <c r="A5" s="46" t="inlineStr">
        <is>
          <t>K1</t>
        </is>
      </c>
      <c r="B5" s="46" t="inlineStr">
        <is>
          <t>K2</t>
        </is>
      </c>
      <c r="C5" s="46" t="inlineStr">
        <is>
          <t>K3</t>
        </is>
      </c>
      <c r="D5" s="46" t="inlineStr">
        <is>
          <t>K4</t>
        </is>
      </c>
      <c r="E5" s="46" t="inlineStr">
        <is>
          <t>K5</t>
        </is>
      </c>
      <c r="F5" s="46" t="inlineStr">
        <is>
          <t>K6</t>
        </is>
      </c>
    </row>
    <row r="6">
      <c r="A6" s="47">
        <f>'4-6. Fuzzy &amp; Bobot'!C51</f>
        <v/>
      </c>
      <c r="B6" s="47">
        <f>'4-6. Fuzzy &amp; Bobot'!C52</f>
        <v/>
      </c>
      <c r="C6" s="47">
        <f>'4-6. Fuzzy &amp; Bobot'!C53</f>
        <v/>
      </c>
      <c r="D6" s="47">
        <f>'4-6. Fuzzy &amp; Bobot'!C54</f>
        <v/>
      </c>
      <c r="E6" s="47">
        <f>'4-6. Fuzzy &amp; Bobot'!C55</f>
        <v/>
      </c>
      <c r="F6" s="47">
        <f>'4-6. Fuzzy &amp; Bobot'!C56</f>
        <v/>
      </c>
    </row>
    <row r="8">
      <c r="A8" s="3" t="inlineStr">
        <is>
          <t>PERHITUNGAN SKOR AKHIR</t>
        </is>
      </c>
    </row>
    <row r="9">
      <c r="A9" s="7" t="inlineStr">
        <is>
          <t>No</t>
        </is>
      </c>
      <c r="B9" s="7" t="inlineStr">
        <is>
          <t>Nama</t>
        </is>
      </c>
      <c r="C9" s="7" t="inlineStr">
        <is>
          <t>K1×W</t>
        </is>
      </c>
      <c r="D9" s="7" t="inlineStr">
        <is>
          <t>K2×W</t>
        </is>
      </c>
      <c r="E9" s="7" t="inlineStr">
        <is>
          <t>K3×W</t>
        </is>
      </c>
      <c r="F9" s="7" t="inlineStr">
        <is>
          <t>K4×W</t>
        </is>
      </c>
      <c r="G9" s="7" t="inlineStr">
        <is>
          <t>K5×W</t>
        </is>
      </c>
      <c r="H9" s="7" t="inlineStr">
        <is>
          <t>K6×W</t>
        </is>
      </c>
      <c r="I9" s="8" t="inlineStr">
        <is>
          <t>Skor Akhir</t>
        </is>
      </c>
      <c r="J9" s="8" t="inlineStr">
        <is>
          <t>Ranking</t>
        </is>
      </c>
    </row>
    <row r="10">
      <c r="A10" s="10" t="n">
        <v>1</v>
      </c>
      <c r="B10" s="9">
        <f>'Input Data'!B20</f>
        <v/>
      </c>
      <c r="C10" s="51">
        <f>'Nilai Peserta'!C5*$A$6</f>
        <v/>
      </c>
      <c r="D10" s="51">
        <f>'Nilai Peserta'!D5*$B$6</f>
        <v/>
      </c>
      <c r="E10" s="51">
        <f>'Nilai Peserta'!E5*$C$6</f>
        <v/>
      </c>
      <c r="F10" s="51">
        <f>'Nilai Peserta'!F5*$D$6</f>
        <v/>
      </c>
      <c r="G10" s="51">
        <f>'Nilai Peserta'!G5*$E$6</f>
        <v/>
      </c>
      <c r="H10" s="51">
        <f>'Nilai Peserta'!H5*$F$6</f>
        <v/>
      </c>
      <c r="I10" s="52">
        <f>SUM(C10:H10)</f>
        <v/>
      </c>
      <c r="J10" s="22">
        <f>IF(B10="","",RANK(I10,$I$10:$I$19,0))</f>
        <v/>
      </c>
    </row>
    <row r="11">
      <c r="A11" s="10" t="n">
        <v>2</v>
      </c>
      <c r="B11" s="9">
        <f>'Input Data'!B21</f>
        <v/>
      </c>
      <c r="C11" s="51">
        <f>'Nilai Peserta'!C6*$A$6</f>
        <v/>
      </c>
      <c r="D11" s="51">
        <f>'Nilai Peserta'!D6*$B$6</f>
        <v/>
      </c>
      <c r="E11" s="51">
        <f>'Nilai Peserta'!E6*$C$6</f>
        <v/>
      </c>
      <c r="F11" s="51">
        <f>'Nilai Peserta'!F6*$D$6</f>
        <v/>
      </c>
      <c r="G11" s="51">
        <f>'Nilai Peserta'!G6*$E$6</f>
        <v/>
      </c>
      <c r="H11" s="51">
        <f>'Nilai Peserta'!H6*$F$6</f>
        <v/>
      </c>
      <c r="I11" s="52">
        <f>SUM(C11:H11)</f>
        <v/>
      </c>
      <c r="J11" s="22">
        <f>IF(B11="","",RANK(I11,$I$10:$I$19,0))</f>
        <v/>
      </c>
    </row>
    <row r="12">
      <c r="A12" s="10" t="n">
        <v>3</v>
      </c>
      <c r="B12" s="9">
        <f>'Input Data'!B22</f>
        <v/>
      </c>
      <c r="C12" s="51">
        <f>'Nilai Peserta'!C7*$A$6</f>
        <v/>
      </c>
      <c r="D12" s="51">
        <f>'Nilai Peserta'!D7*$B$6</f>
        <v/>
      </c>
      <c r="E12" s="51">
        <f>'Nilai Peserta'!E7*$C$6</f>
        <v/>
      </c>
      <c r="F12" s="51">
        <f>'Nilai Peserta'!F7*$D$6</f>
        <v/>
      </c>
      <c r="G12" s="51">
        <f>'Nilai Peserta'!G7*$E$6</f>
        <v/>
      </c>
      <c r="H12" s="51">
        <f>'Nilai Peserta'!H7*$F$6</f>
        <v/>
      </c>
      <c r="I12" s="52">
        <f>SUM(C12:H12)</f>
        <v/>
      </c>
      <c r="J12" s="22">
        <f>IF(B12="","",RANK(I12,$I$10:$I$19,0))</f>
        <v/>
      </c>
    </row>
    <row r="13">
      <c r="A13" s="10" t="n">
        <v>4</v>
      </c>
      <c r="B13" s="9">
        <f>'Input Data'!B23</f>
        <v/>
      </c>
      <c r="C13" s="51">
        <f>'Nilai Peserta'!C8*$A$6</f>
        <v/>
      </c>
      <c r="D13" s="51">
        <f>'Nilai Peserta'!D8*$B$6</f>
        <v/>
      </c>
      <c r="E13" s="51">
        <f>'Nilai Peserta'!E8*$C$6</f>
        <v/>
      </c>
      <c r="F13" s="51">
        <f>'Nilai Peserta'!F8*$D$6</f>
        <v/>
      </c>
      <c r="G13" s="51">
        <f>'Nilai Peserta'!G8*$E$6</f>
        <v/>
      </c>
      <c r="H13" s="51">
        <f>'Nilai Peserta'!H8*$F$6</f>
        <v/>
      </c>
      <c r="I13" s="52">
        <f>SUM(C13:H13)</f>
        <v/>
      </c>
      <c r="J13" s="22">
        <f>IF(B13="","",RANK(I13,$I$10:$I$19,0))</f>
        <v/>
      </c>
    </row>
    <row r="14">
      <c r="A14" s="10" t="n">
        <v>5</v>
      </c>
      <c r="B14" s="9">
        <f>'Input Data'!B24</f>
        <v/>
      </c>
      <c r="C14" s="51">
        <f>'Nilai Peserta'!C9*$A$6</f>
        <v/>
      </c>
      <c r="D14" s="51">
        <f>'Nilai Peserta'!D9*$B$6</f>
        <v/>
      </c>
      <c r="E14" s="51">
        <f>'Nilai Peserta'!E9*$C$6</f>
        <v/>
      </c>
      <c r="F14" s="51">
        <f>'Nilai Peserta'!F9*$D$6</f>
        <v/>
      </c>
      <c r="G14" s="51">
        <f>'Nilai Peserta'!G9*$E$6</f>
        <v/>
      </c>
      <c r="H14" s="51">
        <f>'Nilai Peserta'!H9*$F$6</f>
        <v/>
      </c>
      <c r="I14" s="52">
        <f>SUM(C14:H14)</f>
        <v/>
      </c>
      <c r="J14" s="22">
        <f>IF(B14="","",RANK(I14,$I$10:$I$19,0))</f>
        <v/>
      </c>
    </row>
    <row r="15">
      <c r="A15" s="10" t="n">
        <v>6</v>
      </c>
      <c r="B15" s="9">
        <f>'Input Data'!B25</f>
        <v/>
      </c>
      <c r="C15" s="51">
        <f>'Nilai Peserta'!C10*$A$6</f>
        <v/>
      </c>
      <c r="D15" s="51">
        <f>'Nilai Peserta'!D10*$B$6</f>
        <v/>
      </c>
      <c r="E15" s="51">
        <f>'Nilai Peserta'!E10*$C$6</f>
        <v/>
      </c>
      <c r="F15" s="51">
        <f>'Nilai Peserta'!F10*$D$6</f>
        <v/>
      </c>
      <c r="G15" s="51">
        <f>'Nilai Peserta'!G10*$E$6</f>
        <v/>
      </c>
      <c r="H15" s="51">
        <f>'Nilai Peserta'!H10*$F$6</f>
        <v/>
      </c>
      <c r="I15" s="52">
        <f>SUM(C15:H15)</f>
        <v/>
      </c>
      <c r="J15" s="22">
        <f>IF(B15="","",RANK(I15,$I$10:$I$19,0))</f>
        <v/>
      </c>
    </row>
    <row r="16">
      <c r="A16" s="10" t="n">
        <v>7</v>
      </c>
      <c r="B16" s="9">
        <f>'Input Data'!B26</f>
        <v/>
      </c>
      <c r="C16" s="51">
        <f>'Nilai Peserta'!C11*$A$6</f>
        <v/>
      </c>
      <c r="D16" s="51">
        <f>'Nilai Peserta'!D11*$B$6</f>
        <v/>
      </c>
      <c r="E16" s="51">
        <f>'Nilai Peserta'!E11*$C$6</f>
        <v/>
      </c>
      <c r="F16" s="51">
        <f>'Nilai Peserta'!F11*$D$6</f>
        <v/>
      </c>
      <c r="G16" s="51">
        <f>'Nilai Peserta'!G11*$E$6</f>
        <v/>
      </c>
      <c r="H16" s="51">
        <f>'Nilai Peserta'!H11*$F$6</f>
        <v/>
      </c>
      <c r="I16" s="52">
        <f>SUM(C16:H16)</f>
        <v/>
      </c>
      <c r="J16" s="22">
        <f>IF(B16="","",RANK(I16,$I$10:$I$19,0))</f>
        <v/>
      </c>
    </row>
    <row r="17">
      <c r="A17" s="10" t="n">
        <v>8</v>
      </c>
      <c r="B17" s="9">
        <f>'Input Data'!B27</f>
        <v/>
      </c>
      <c r="C17" s="51">
        <f>'Nilai Peserta'!C12*$A$6</f>
        <v/>
      </c>
      <c r="D17" s="51">
        <f>'Nilai Peserta'!D12*$B$6</f>
        <v/>
      </c>
      <c r="E17" s="51">
        <f>'Nilai Peserta'!E12*$C$6</f>
        <v/>
      </c>
      <c r="F17" s="51">
        <f>'Nilai Peserta'!F12*$D$6</f>
        <v/>
      </c>
      <c r="G17" s="51">
        <f>'Nilai Peserta'!G12*$E$6</f>
        <v/>
      </c>
      <c r="H17" s="51">
        <f>'Nilai Peserta'!H12*$F$6</f>
        <v/>
      </c>
      <c r="I17" s="52">
        <f>SUM(C17:H17)</f>
        <v/>
      </c>
      <c r="J17" s="22">
        <f>IF(B17="","",RANK(I17,$I$10:$I$19,0))</f>
        <v/>
      </c>
    </row>
    <row r="18">
      <c r="A18" s="10" t="n">
        <v>9</v>
      </c>
      <c r="B18" s="9">
        <f>'Input Data'!B28</f>
        <v/>
      </c>
      <c r="C18" s="51">
        <f>'Nilai Peserta'!C13*$A$6</f>
        <v/>
      </c>
      <c r="D18" s="51">
        <f>'Nilai Peserta'!D13*$B$6</f>
        <v/>
      </c>
      <c r="E18" s="51">
        <f>'Nilai Peserta'!E13*$C$6</f>
        <v/>
      </c>
      <c r="F18" s="51">
        <f>'Nilai Peserta'!F13*$D$6</f>
        <v/>
      </c>
      <c r="G18" s="51">
        <f>'Nilai Peserta'!G13*$E$6</f>
        <v/>
      </c>
      <c r="H18" s="51">
        <f>'Nilai Peserta'!H13*$F$6</f>
        <v/>
      </c>
      <c r="I18" s="52">
        <f>SUM(C18:H18)</f>
        <v/>
      </c>
      <c r="J18" s="22">
        <f>IF(B18="","",RANK(I18,$I$10:$I$19,0))</f>
        <v/>
      </c>
    </row>
    <row r="19">
      <c r="A19" s="10" t="n">
        <v>10</v>
      </c>
      <c r="B19" s="9">
        <f>'Input Data'!B29</f>
        <v/>
      </c>
      <c r="C19" s="51">
        <f>'Nilai Peserta'!C14*$A$6</f>
        <v/>
      </c>
      <c r="D19" s="51">
        <f>'Nilai Peserta'!D14*$B$6</f>
        <v/>
      </c>
      <c r="E19" s="51">
        <f>'Nilai Peserta'!E14*$C$6</f>
        <v/>
      </c>
      <c r="F19" s="51">
        <f>'Nilai Peserta'!F14*$D$6</f>
        <v/>
      </c>
      <c r="G19" s="51">
        <f>'Nilai Peserta'!G14*$E$6</f>
        <v/>
      </c>
      <c r="H19" s="51">
        <f>'Nilai Peserta'!H14*$F$6</f>
        <v/>
      </c>
      <c r="I19" s="52">
        <f>SUM(C19:H19)</f>
        <v/>
      </c>
      <c r="J19" s="22">
        <f>IF(B19="","",RANK(I19,$I$10:$I$19,0))</f>
        <v/>
      </c>
    </row>
  </sheetData>
  <mergeCells count="4">
    <mergeCell ref="A2:L2"/>
    <mergeCell ref="A1:L1"/>
    <mergeCell ref="A8:J8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2026-02-04T13:51:48Z</dcterms:created>
  <dcterms:modified xsi:type="dcterms:W3CDTF">2026-02-04T13:51:48Z</dcterms:modified>
</cp:coreProperties>
</file>