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742E80C6-E99A-4F00-AEC4-C5770F78634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D21" i="7"/>
  <c r="C21" i="7"/>
  <c r="B21" i="7"/>
  <c r="D20" i="7"/>
  <c r="C20" i="7"/>
  <c r="B20" i="7"/>
  <c r="B30" i="7" s="1"/>
  <c r="D19" i="7"/>
  <c r="C19" i="7"/>
  <c r="B19" i="7"/>
  <c r="D18" i="7"/>
  <c r="D28" i="7" s="1"/>
  <c r="C18" i="7"/>
  <c r="B18" i="7"/>
  <c r="D17" i="7"/>
  <c r="C17" i="7"/>
  <c r="B17" i="7"/>
  <c r="B22" i="7" s="1"/>
  <c r="D16" i="7"/>
  <c r="D22" i="7" s="1"/>
  <c r="C16" i="7"/>
  <c r="B16" i="7"/>
  <c r="B26" i="7" s="1"/>
  <c r="F10" i="6"/>
  <c r="E10" i="6"/>
  <c r="D10" i="6"/>
  <c r="C10" i="6"/>
  <c r="B10" i="6"/>
  <c r="B19" i="6" s="1"/>
  <c r="G9" i="6"/>
  <c r="E9" i="6"/>
  <c r="D9" i="6"/>
  <c r="B18" i="6" s="1"/>
  <c r="C9" i="6"/>
  <c r="B9" i="6"/>
  <c r="G8" i="6"/>
  <c r="F8" i="6"/>
  <c r="D8" i="6"/>
  <c r="C8" i="6"/>
  <c r="B8" i="6"/>
  <c r="G7" i="6"/>
  <c r="F7" i="6"/>
  <c r="E7" i="6"/>
  <c r="C7" i="6"/>
  <c r="B7" i="6"/>
  <c r="B16" i="6" s="1"/>
  <c r="G6" i="6"/>
  <c r="F6" i="6"/>
  <c r="E6" i="6"/>
  <c r="D6" i="6"/>
  <c r="B6" i="6"/>
  <c r="B15" i="6" s="1"/>
  <c r="G5" i="6"/>
  <c r="F5" i="6"/>
  <c r="E5" i="6"/>
  <c r="B14" i="6" s="1"/>
  <c r="D5" i="6"/>
  <c r="C5" i="6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C27" i="7" l="1"/>
  <c r="C31" i="7"/>
  <c r="B29" i="7"/>
  <c r="B28" i="7"/>
  <c r="D31" i="7"/>
  <c r="D27" i="7"/>
  <c r="D26" i="7"/>
  <c r="D30" i="7"/>
  <c r="C28" i="7"/>
  <c r="D29" i="7"/>
  <c r="B31" i="7"/>
  <c r="C22" i="7"/>
  <c r="B17" i="6"/>
  <c r="B27" i="7"/>
  <c r="D42" i="7" l="1"/>
  <c r="C42" i="7"/>
  <c r="E42" i="7"/>
  <c r="C39" i="7"/>
  <c r="G39" i="7"/>
  <c r="F39" i="7"/>
  <c r="E38" i="7"/>
  <c r="D38" i="7"/>
  <c r="F38" i="7"/>
  <c r="G38" i="7"/>
  <c r="B38" i="7"/>
  <c r="B47" i="7" s="1"/>
  <c r="C30" i="7"/>
  <c r="C26" i="7"/>
  <c r="C29" i="7"/>
  <c r="B20" i="6"/>
  <c r="C15" i="6" l="1"/>
  <c r="C18" i="6"/>
  <c r="C19" i="6"/>
  <c r="C14" i="6"/>
  <c r="C16" i="6"/>
  <c r="G40" i="7"/>
  <c r="B40" i="7"/>
  <c r="F40" i="7"/>
  <c r="D40" i="7"/>
  <c r="C40" i="7"/>
  <c r="F37" i="7"/>
  <c r="E37" i="7"/>
  <c r="C37" i="7"/>
  <c r="D37" i="7"/>
  <c r="G37" i="7"/>
  <c r="E39" i="7"/>
  <c r="B42" i="7"/>
  <c r="E41" i="7"/>
  <c r="D41" i="7"/>
  <c r="G41" i="7"/>
  <c r="B41" i="7"/>
  <c r="C41" i="7"/>
  <c r="B39" i="7"/>
  <c r="F42" i="7"/>
  <c r="C17" i="6"/>
  <c r="B48" i="7" l="1"/>
  <c r="B49" i="7"/>
  <c r="B50" i="7"/>
  <c r="B51" i="7"/>
  <c r="B61" i="7" s="1"/>
  <c r="F6" i="8" s="1"/>
  <c r="B46" i="7"/>
  <c r="B29" i="6"/>
  <c r="C29" i="6" s="1"/>
  <c r="B25" i="6"/>
  <c r="C25" i="6" s="1"/>
  <c r="C20" i="6"/>
  <c r="B24" i="6"/>
  <c r="C24" i="6" s="1"/>
  <c r="B26" i="6"/>
  <c r="C26" i="6" s="1"/>
  <c r="B27" i="6"/>
  <c r="C27" i="6" s="1"/>
  <c r="B28" i="6"/>
  <c r="C28" i="6" s="1"/>
  <c r="B60" i="7" l="1"/>
  <c r="E6" i="8" s="1"/>
  <c r="B59" i="7"/>
  <c r="D6" i="8" s="1"/>
  <c r="B31" i="6"/>
  <c r="B32" i="6" s="1"/>
  <c r="B34" i="6" s="1"/>
  <c r="B35" i="6" s="1"/>
  <c r="B56" i="7"/>
  <c r="B57" i="7"/>
  <c r="B6" i="8" s="1"/>
  <c r="B58" i="7"/>
  <c r="C6" i="8" s="1"/>
  <c r="A6" i="8" l="1"/>
  <c r="B62" i="7"/>
  <c r="C17" i="8" l="1"/>
  <c r="C13" i="8"/>
  <c r="E16" i="8"/>
  <c r="E12" i="8"/>
  <c r="C16" i="8"/>
  <c r="E19" i="8"/>
  <c r="E13" i="8"/>
  <c r="E15" i="8"/>
  <c r="D15" i="8"/>
  <c r="E14" i="8"/>
  <c r="C10" i="8"/>
  <c r="C18" i="8"/>
  <c r="F18" i="8" s="1"/>
  <c r="D13" i="8"/>
  <c r="E10" i="8"/>
  <c r="C19" i="8"/>
  <c r="F19" i="8" s="1"/>
  <c r="D10" i="8"/>
  <c r="E17" i="8"/>
  <c r="D14" i="8"/>
  <c r="D17" i="8"/>
  <c r="C15" i="8"/>
  <c r="F15" i="8" s="1"/>
  <c r="C12" i="8"/>
  <c r="D18" i="8"/>
  <c r="D12" i="8"/>
  <c r="C11" i="8"/>
  <c r="F11" i="8" s="1"/>
  <c r="D11" i="8"/>
  <c r="D19" i="8"/>
  <c r="E18" i="8"/>
  <c r="C14" i="8"/>
  <c r="F14" i="8" s="1"/>
  <c r="E11" i="8"/>
  <c r="D16" i="8"/>
  <c r="F13" i="8" l="1"/>
  <c r="F10" i="8"/>
  <c r="F12" i="8"/>
  <c r="F16" i="8"/>
  <c r="F17" i="8"/>
  <c r="G12" i="8" l="1"/>
  <c r="G11" i="8"/>
  <c r="G10" i="8"/>
  <c r="G13" i="8"/>
  <c r="G17" i="8"/>
  <c r="G19" i="8"/>
  <c r="G18" i="8"/>
  <c r="G16" i="8"/>
  <c r="G15" i="8"/>
  <c r="G14" i="8"/>
</calcChain>
</file>

<file path=xl/sharedStrings.xml><?xml version="1.0" encoding="utf-8"?>
<sst xmlns="http://schemas.openxmlformats.org/spreadsheetml/2006/main" count="209" uniqueCount="81">
  <si>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</si>
  <si>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</si>
  <si>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</si>
  <si>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</si>
  <si>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</si>
  <si>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</si>
  <si>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</si>
  <si>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</si>
  <si>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</si>
  <si>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</si>
  <si>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</si>
  <si>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</si>
  <si>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</si>
  <si>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</si>
  <si>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</si>
  <si>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</si>
  <si>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</si>
  <si>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</si>
  <si>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</si>
  <si>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</si>
  <si>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</si>
  <si>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</si>
  <si>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</si>
  <si>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</si>
  <si>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</si>
  <si>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</si>
  <si>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</si>
  <si>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</si>
  <si>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</si>
  <si>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</si>
  <si>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(K1, K2)</t>
  </si>
  <si>
    <t>INPUT PENILAI 2 (K3, K4)</t>
  </si>
  <si>
    <t>INPUT PENILAI 3 (K5, K6)</t>
  </si>
  <si>
    <t>REKAP NILAI DARI 3 PENILAI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</si>
  <si>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</si>
  <si>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</si>
  <si>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</si>
  <si>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</si>
  <si>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</si>
  <si>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</si>
  <si>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</si>
  <si>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</si>
  <si>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</si>
  <si>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</si>
  <si>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</si>
  <si>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</si>
  <si>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</si>
  <si>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</si>
  <si>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</si>
  <si>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</si>
  <si>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</si>
  <si>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</si>
  <si>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</si>
  <si>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</si>
  <si>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</si>
  <si>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</si>
  <si>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</si>
  <si>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</si>
  <si>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</si>
  <si>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</si>
  <si>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</si>
  <si>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</si>
  <si>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</si>
  <si>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</si>
  <si>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</si>
  <si>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</si>
  <si>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</si>
  <si>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</si>
  <si>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</si>
  <si>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</si>
  <si>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</si>
  <si>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</si>
  <si>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</si>
  <si>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</si>
  <si>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(Wi)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</si>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</sst>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i/>
      <sz val="9"/>
      <name val="Calibri"/>
    </font>
    <font>
      <b/>
      <sz val="11"/>
      <color rgb="FF0D9488"/>
      <name val="Calibri"/>
    </font>
    <font>
      <i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2" fontId="4" fillId="18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2" fontId="4" fillId="13" borderId="1" xfId="0" applyNumberFormat="1" applyFont="1" applyFill="1" applyBorder="1" applyAlignment="1">
      <alignment horizontal="center" vertical="center" wrapText="1"/>
    </xf>
    <xf numFmtId="2" fontId="9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7" fillId="0" borderId="0" xfId="0" applyFont="1"/>
    <xf numFmtId="0" fontId="8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8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8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13" fillId="0" borderId="0" xfId="0" applyFont="1"/>
    <xf numFmtId="0" fontId="8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7" t="s">
        <v>0</v>
      </c>
      <c r="B1" s="38"/>
      <c r="C1" s="38"/>
      <c r="D1" s="38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1</v>
      </c>
    </row>
    <row r="6" spans="1:4" x14ac:dyDescent="0.3">
      <c r="A6" s="3" t="s">
        <v>7</v>
      </c>
      <c r="B6" s="4" t="s">
        <v>8</v>
      </c>
      <c r="C6" s="5">
        <v>2</v>
      </c>
    </row>
    <row r="7" spans="1:4" x14ac:dyDescent="0.3">
      <c r="A7" s="3" t="s">
        <v>9</v>
      </c>
      <c r="B7" s="4" t="s">
        <v>10</v>
      </c>
      <c r="C7" s="5">
        <v>2</v>
      </c>
    </row>
    <row r="8" spans="1:4" x14ac:dyDescent="0.3">
      <c r="A8" s="3" t="s">
        <v>11</v>
      </c>
      <c r="B8" s="4" t="s">
        <v>12</v>
      </c>
      <c r="C8" s="5">
        <v>3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5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39" t="s">
        <v>30</v>
      </c>
      <c r="B1" s="38"/>
      <c r="C1" s="38"/>
      <c r="D1" s="38"/>
    </row>
    <row r="3" spans="1:4" x14ac:dyDescent="0.3">
      <c r="A3" s="6" t="s">
        <v>18</v>
      </c>
      <c r="B3" s="6" t="s">
        <v>19</v>
      </c>
      <c r="C3" s="6" t="s">
        <v>5</v>
      </c>
      <c r="D3" s="6" t="s">
        <v>7</v>
      </c>
    </row>
    <row r="4" spans="1:4" x14ac:dyDescent="0.3">
      <c r="A4" s="4">
        <v>1</v>
      </c>
      <c r="B4" s="7" t="str">
        <f>Input!B14</f>
        <v>David Kulian</v>
      </c>
      <c r="C4" s="5">
        <v>4</v>
      </c>
      <c r="D4" s="5">
        <v>5</v>
      </c>
    </row>
    <row r="5" spans="1:4" x14ac:dyDescent="0.3">
      <c r="A5" s="4">
        <v>2</v>
      </c>
      <c r="B5" s="7" t="str">
        <f>Input!B15</f>
        <v>Siti Aminah</v>
      </c>
      <c r="C5" s="5">
        <v>78</v>
      </c>
      <c r="D5" s="5">
        <v>82</v>
      </c>
    </row>
    <row r="6" spans="1:4" x14ac:dyDescent="0.3">
      <c r="A6" s="4">
        <v>3</v>
      </c>
      <c r="B6" s="7" t="str">
        <f>Input!B16</f>
        <v>Budi Santoso</v>
      </c>
      <c r="C6" s="5">
        <v>92</v>
      </c>
      <c r="D6" s="5">
        <v>88</v>
      </c>
    </row>
    <row r="7" spans="1:4" x14ac:dyDescent="0.3">
      <c r="A7" s="4">
        <v>4</v>
      </c>
      <c r="B7" s="7" t="str">
        <f>Input!B17</f>
        <v>Dewi Lestari</v>
      </c>
      <c r="C7" s="5">
        <v>80</v>
      </c>
      <c r="D7" s="5">
        <v>85</v>
      </c>
    </row>
    <row r="8" spans="1:4" x14ac:dyDescent="0.3">
      <c r="A8" s="4">
        <v>5</v>
      </c>
      <c r="B8" s="7" t="str">
        <f>Input!B18</f>
        <v>Ahmad Fauzi</v>
      </c>
      <c r="C8" s="5">
        <v>88</v>
      </c>
      <c r="D8" s="5">
        <v>90</v>
      </c>
    </row>
    <row r="9" spans="1:4" x14ac:dyDescent="0.3">
      <c r="A9" s="4">
        <v>6</v>
      </c>
      <c r="B9" s="7" t="str">
        <f>Input!B19</f>
        <v>Rina Wati</v>
      </c>
      <c r="C9" s="5">
        <v>75</v>
      </c>
      <c r="D9" s="5">
        <v>80</v>
      </c>
    </row>
    <row r="10" spans="1:4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</row>
    <row r="11" spans="1:4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</row>
    <row r="12" spans="1:4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</row>
    <row r="13" spans="1:4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40" t="s">
        <v>31</v>
      </c>
      <c r="B1" s="38"/>
      <c r="C1" s="38"/>
      <c r="D1" s="38"/>
    </row>
    <row r="3" spans="1:4" x14ac:dyDescent="0.3">
      <c r="A3" s="8" t="s">
        <v>18</v>
      </c>
      <c r="B3" s="8" t="s">
        <v>19</v>
      </c>
      <c r="C3" s="8" t="s">
        <v>9</v>
      </c>
      <c r="D3" s="8" t="s">
        <v>11</v>
      </c>
    </row>
    <row r="4" spans="1:4" x14ac:dyDescent="0.3">
      <c r="A4" s="4">
        <v>1</v>
      </c>
      <c r="B4" s="9" t="str">
        <f>Input!B14</f>
        <v>David Kulian</v>
      </c>
      <c r="C4" s="5">
        <v>3</v>
      </c>
      <c r="D4" s="5">
        <v>5</v>
      </c>
    </row>
    <row r="5" spans="1:4" x14ac:dyDescent="0.3">
      <c r="A5" s="4">
        <v>2</v>
      </c>
      <c r="B5" s="9" t="str">
        <f>Input!B15</f>
        <v>Siti Aminah</v>
      </c>
      <c r="C5" s="5">
        <v>82</v>
      </c>
      <c r="D5" s="5">
        <v>88</v>
      </c>
    </row>
    <row r="6" spans="1:4" x14ac:dyDescent="0.3">
      <c r="A6" s="4">
        <v>3</v>
      </c>
      <c r="B6" s="9" t="str">
        <f>Input!B16</f>
        <v>Budi Santoso</v>
      </c>
      <c r="C6" s="5">
        <v>90</v>
      </c>
      <c r="D6" s="5">
        <v>85</v>
      </c>
    </row>
    <row r="7" spans="1:4" x14ac:dyDescent="0.3">
      <c r="A7" s="4">
        <v>4</v>
      </c>
      <c r="B7" s="9" t="str">
        <f>Input!B17</f>
        <v>Dewi Lestari</v>
      </c>
      <c r="C7" s="5">
        <v>85</v>
      </c>
      <c r="D7" s="5">
        <v>90</v>
      </c>
    </row>
    <row r="8" spans="1:4" x14ac:dyDescent="0.3">
      <c r="A8" s="4">
        <v>5</v>
      </c>
      <c r="B8" s="9" t="str">
        <f>Input!B18</f>
        <v>Ahmad Fauzi</v>
      </c>
      <c r="C8" s="5">
        <v>87</v>
      </c>
      <c r="D8" s="5">
        <v>80</v>
      </c>
    </row>
    <row r="9" spans="1:4" x14ac:dyDescent="0.3">
      <c r="A9" s="4">
        <v>6</v>
      </c>
      <c r="B9" s="9" t="str">
        <f>Input!B19</f>
        <v>Rina Wati</v>
      </c>
      <c r="C9" s="5">
        <v>80</v>
      </c>
      <c r="D9" s="5">
        <v>85</v>
      </c>
    </row>
    <row r="10" spans="1:4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</row>
    <row r="11" spans="1:4" x14ac:dyDescent="0.3">
      <c r="A11" s="4">
        <v>8</v>
      </c>
      <c r="B11" s="9" t="str">
        <f>Input!B21</f>
        <v>Maya Sari</v>
      </c>
      <c r="C11" s="5">
        <v>85</v>
      </c>
      <c r="D11" s="5">
        <v>88</v>
      </c>
    </row>
    <row r="12" spans="1:4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</row>
    <row r="13" spans="1:4" x14ac:dyDescent="0.3">
      <c r="A13" s="4">
        <v>10</v>
      </c>
      <c r="B13" s="9" t="str">
        <f>Input!B23</f>
        <v>Lina Marlina</v>
      </c>
      <c r="C13" s="5">
        <v>85</v>
      </c>
      <c r="D13" s="5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41" t="s">
        <v>32</v>
      </c>
      <c r="B1" s="38"/>
      <c r="C1" s="38"/>
      <c r="D1" s="38"/>
    </row>
    <row r="3" spans="1:4" x14ac:dyDescent="0.3">
      <c r="A3" s="10" t="s">
        <v>18</v>
      </c>
      <c r="B3" s="10" t="s">
        <v>19</v>
      </c>
      <c r="C3" s="10" t="s">
        <v>13</v>
      </c>
      <c r="D3" s="10" t="s">
        <v>15</v>
      </c>
    </row>
    <row r="4" spans="1:4" x14ac:dyDescent="0.3">
      <c r="A4" s="4">
        <v>1</v>
      </c>
      <c r="B4" s="11" t="str">
        <f>Input!B14</f>
        <v>David Kulian</v>
      </c>
      <c r="C4" s="5">
        <v>4</v>
      </c>
      <c r="D4" s="5">
        <v>87</v>
      </c>
    </row>
    <row r="5" spans="1:4" x14ac:dyDescent="0.3">
      <c r="A5" s="4">
        <v>2</v>
      </c>
      <c r="B5" s="11" t="str">
        <f>Input!B15</f>
        <v>Siti Aminah</v>
      </c>
      <c r="C5" s="5">
        <v>80</v>
      </c>
      <c r="D5" s="5">
        <v>78</v>
      </c>
    </row>
    <row r="6" spans="1:4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</row>
    <row r="7" spans="1:4" x14ac:dyDescent="0.3">
      <c r="A7" s="4">
        <v>4</v>
      </c>
      <c r="B7" s="11" t="str">
        <f>Input!B17</f>
        <v>Dewi Lestari</v>
      </c>
      <c r="C7" s="5">
        <v>82</v>
      </c>
      <c r="D7" s="5">
        <v>80</v>
      </c>
    </row>
    <row r="8" spans="1:4" x14ac:dyDescent="0.3">
      <c r="A8" s="4">
        <v>5</v>
      </c>
      <c r="B8" s="11" t="str">
        <f>Input!B18</f>
        <v>Ahmad Fauzi</v>
      </c>
      <c r="C8" s="5">
        <v>90</v>
      </c>
      <c r="D8" s="5">
        <v>88</v>
      </c>
    </row>
    <row r="9" spans="1:4" x14ac:dyDescent="0.3">
      <c r="A9" s="4">
        <v>6</v>
      </c>
      <c r="B9" s="11" t="str">
        <f>Input!B19</f>
        <v>Rina Wati</v>
      </c>
      <c r="C9" s="5">
        <v>85</v>
      </c>
      <c r="D9" s="5">
        <v>82</v>
      </c>
    </row>
    <row r="10" spans="1:4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</row>
    <row r="11" spans="1:4" x14ac:dyDescent="0.3">
      <c r="A11" s="4">
        <v>8</v>
      </c>
      <c r="B11" s="11" t="str">
        <f>Input!B21</f>
        <v>Maya Sari</v>
      </c>
      <c r="C11" s="5">
        <v>88</v>
      </c>
      <c r="D11" s="5">
        <v>92</v>
      </c>
    </row>
    <row r="12" spans="1:4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</row>
    <row r="13" spans="1:4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sqref="A1:H1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2" t="s">
        <v>33</v>
      </c>
      <c r="B1" s="38"/>
      <c r="C1" s="38"/>
      <c r="D1" s="38"/>
      <c r="E1" s="38"/>
      <c r="F1" s="38"/>
      <c r="G1" s="38"/>
      <c r="H1" s="38"/>
    </row>
    <row r="3" spans="1:8" x14ac:dyDescent="0.3">
      <c r="A3" s="2" t="s">
        <v>18</v>
      </c>
      <c r="B3" s="2" t="s">
        <v>19</v>
      </c>
      <c r="C3" s="6" t="s">
        <v>5</v>
      </c>
      <c r="D3" s="6" t="s">
        <v>7</v>
      </c>
      <c r="E3" s="8" t="s">
        <v>9</v>
      </c>
      <c r="F3" s="8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3" t="str">
        <f>Input!B14</f>
        <v>David Kulian</v>
      </c>
      <c r="C4" s="7">
        <f>'Penilai 1'!C4</f>
        <v>4</v>
      </c>
      <c r="D4" s="7">
        <f>'Penilai 1'!D4</f>
        <v>5</v>
      </c>
      <c r="E4" s="9">
        <f>'Penilai 2'!C4</f>
        <v>3</v>
      </c>
      <c r="F4" s="9">
        <f>'Penilai 2'!D4</f>
        <v>5</v>
      </c>
      <c r="G4" s="11">
        <f>'Penilai 3'!C4</f>
        <v>4</v>
      </c>
      <c r="H4" s="11">
        <f>'Penilai 3'!D4</f>
        <v>87</v>
      </c>
    </row>
    <row r="5" spans="1:8" x14ac:dyDescent="0.3">
      <c r="A5" s="4">
        <v>2</v>
      </c>
      <c r="B5" s="3" t="str">
        <f>Input!B15</f>
        <v>Siti Aminah</v>
      </c>
      <c r="C5" s="7">
        <f>'Penilai 1'!C5</f>
        <v>78</v>
      </c>
      <c r="D5" s="7">
        <f>'Penilai 1'!D5</f>
        <v>82</v>
      </c>
      <c r="E5" s="9">
        <f>'Penilai 2'!C5</f>
        <v>82</v>
      </c>
      <c r="F5" s="9">
        <f>'Penilai 2'!D5</f>
        <v>88</v>
      </c>
      <c r="G5" s="11">
        <f>'Penilai 3'!C5</f>
        <v>80</v>
      </c>
      <c r="H5" s="11">
        <f>'Penilai 3'!D5</f>
        <v>78</v>
      </c>
    </row>
    <row r="6" spans="1:8" x14ac:dyDescent="0.3">
      <c r="A6" s="4">
        <v>3</v>
      </c>
      <c r="B6" s="3" t="str">
        <f>Input!B16</f>
        <v>Budi Santoso</v>
      </c>
      <c r="C6" s="7">
        <f>'Penilai 1'!C6</f>
        <v>92</v>
      </c>
      <c r="D6" s="7">
        <f>'Penilai 1'!D6</f>
        <v>88</v>
      </c>
      <c r="E6" s="9">
        <f>'Penilai 2'!C6</f>
        <v>90</v>
      </c>
      <c r="F6" s="9">
        <f>'Penilai 2'!D6</f>
        <v>85</v>
      </c>
      <c r="G6" s="11">
        <f>'Penilai 3'!C6</f>
        <v>88</v>
      </c>
      <c r="H6" s="11">
        <f>'Penilai 3'!D6</f>
        <v>90</v>
      </c>
    </row>
    <row r="7" spans="1:8" x14ac:dyDescent="0.3">
      <c r="A7" s="4">
        <v>4</v>
      </c>
      <c r="B7" s="3" t="str">
        <f>Input!B17</f>
        <v>Dewi Lestari</v>
      </c>
      <c r="C7" s="7">
        <f>'Penilai 1'!C7</f>
        <v>80</v>
      </c>
      <c r="D7" s="7">
        <f>'Penilai 1'!D7</f>
        <v>85</v>
      </c>
      <c r="E7" s="9">
        <f>'Penilai 2'!C7</f>
        <v>85</v>
      </c>
      <c r="F7" s="9">
        <f>'Penilai 2'!D7</f>
        <v>90</v>
      </c>
      <c r="G7" s="11">
        <f>'Penilai 3'!C7</f>
        <v>82</v>
      </c>
      <c r="H7" s="11">
        <f>'Penilai 3'!D7</f>
        <v>80</v>
      </c>
    </row>
    <row r="8" spans="1:8" x14ac:dyDescent="0.3">
      <c r="A8" s="4">
        <v>5</v>
      </c>
      <c r="B8" s="3" t="str">
        <f>Input!B18</f>
        <v>Ahmad Fauzi</v>
      </c>
      <c r="C8" s="7">
        <f>'Penilai 1'!C8</f>
        <v>88</v>
      </c>
      <c r="D8" s="7">
        <f>'Penilai 1'!D8</f>
        <v>90</v>
      </c>
      <c r="E8" s="9">
        <f>'Penilai 2'!C8</f>
        <v>87</v>
      </c>
      <c r="F8" s="9">
        <f>'Penilai 2'!D8</f>
        <v>80</v>
      </c>
      <c r="G8" s="11">
        <f>'Penilai 3'!C8</f>
        <v>90</v>
      </c>
      <c r="H8" s="11">
        <f>'Penilai 3'!D8</f>
        <v>88</v>
      </c>
    </row>
    <row r="9" spans="1:8" x14ac:dyDescent="0.3">
      <c r="A9" s="4">
        <v>6</v>
      </c>
      <c r="B9" s="3" t="str">
        <f>Input!B19</f>
        <v>Rina Wati</v>
      </c>
      <c r="C9" s="7">
        <f>'Penilai 1'!C9</f>
        <v>75</v>
      </c>
      <c r="D9" s="7">
        <f>'Penilai 1'!D9</f>
        <v>80</v>
      </c>
      <c r="E9" s="9">
        <f>'Penilai 2'!C9</f>
        <v>80</v>
      </c>
      <c r="F9" s="9">
        <f>'Penilai 2'!D9</f>
        <v>85</v>
      </c>
      <c r="G9" s="11">
        <f>'Penilai 3'!C9</f>
        <v>85</v>
      </c>
      <c r="H9" s="11">
        <f>'Penilai 3'!D9</f>
        <v>82</v>
      </c>
    </row>
    <row r="10" spans="1:8" x14ac:dyDescent="0.3">
      <c r="A10" s="4">
        <v>7</v>
      </c>
      <c r="B10" s="3" t="str">
        <f>Input!B20</f>
        <v>Joko Susilo</v>
      </c>
      <c r="C10" s="7">
        <f>'Penilai 1'!C10</f>
        <v>82</v>
      </c>
      <c r="D10" s="7">
        <f>'Penilai 1'!D10</f>
        <v>78</v>
      </c>
      <c r="E10" s="9">
        <f>'Penilai 2'!C10</f>
        <v>88</v>
      </c>
      <c r="F10" s="9">
        <f>'Penilai 2'!D10</f>
        <v>82</v>
      </c>
      <c r="G10" s="11">
        <f>'Penilai 3'!C10</f>
        <v>80</v>
      </c>
      <c r="H10" s="11">
        <f>'Penilai 3'!D10</f>
        <v>85</v>
      </c>
    </row>
    <row r="11" spans="1:8" x14ac:dyDescent="0.3">
      <c r="A11" s="4">
        <v>8</v>
      </c>
      <c r="B11" s="3" t="str">
        <f>Input!B21</f>
        <v>Maya Sari</v>
      </c>
      <c r="C11" s="7">
        <f>'Penilai 1'!C11</f>
        <v>90</v>
      </c>
      <c r="D11" s="7">
        <f>'Penilai 1'!D11</f>
        <v>85</v>
      </c>
      <c r="E11" s="9">
        <f>'Penilai 2'!C11</f>
        <v>85</v>
      </c>
      <c r="F11" s="9">
        <f>'Penilai 2'!D11</f>
        <v>88</v>
      </c>
      <c r="G11" s="11">
        <f>'Penilai 3'!C11</f>
        <v>88</v>
      </c>
      <c r="H11" s="11">
        <f>'Penilai 3'!D11</f>
        <v>92</v>
      </c>
    </row>
    <row r="12" spans="1:8" x14ac:dyDescent="0.3">
      <c r="A12" s="4">
        <v>9</v>
      </c>
      <c r="B12" s="3" t="str">
        <f>Input!B22</f>
        <v>Andi Pratama</v>
      </c>
      <c r="C12" s="7">
        <f>'Penilai 1'!C12</f>
        <v>85</v>
      </c>
      <c r="D12" s="7">
        <f>'Penilai 1'!D12</f>
        <v>82</v>
      </c>
      <c r="E12" s="9">
        <f>'Penilai 2'!C12</f>
        <v>82</v>
      </c>
      <c r="F12" s="9">
        <f>'Penilai 2'!D12</f>
        <v>85</v>
      </c>
      <c r="G12" s="11">
        <f>'Penilai 3'!C12</f>
        <v>85</v>
      </c>
      <c r="H12" s="11">
        <f>'Penilai 3'!D12</f>
        <v>80</v>
      </c>
    </row>
    <row r="13" spans="1:8" x14ac:dyDescent="0.3">
      <c r="A13" s="4">
        <v>10</v>
      </c>
      <c r="B13" s="3" t="str">
        <f>Input!B23</f>
        <v>Lina Marlina</v>
      </c>
      <c r="C13" s="7">
        <f>'Penilai 1'!C13</f>
        <v>78</v>
      </c>
      <c r="D13" s="7">
        <f>'Penilai 1'!D13</f>
        <v>80</v>
      </c>
      <c r="E13" s="9">
        <f>'Penilai 2'!C13</f>
        <v>85</v>
      </c>
      <c r="F13" s="9">
        <f>'Penilai 2'!D13</f>
        <v>90</v>
      </c>
      <c r="G13" s="11">
        <f>'Penilai 3'!C13</f>
        <v>82</v>
      </c>
      <c r="H13" s="11">
        <f>'Penilai 3'!D13</f>
        <v>85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topLeftCell="A16" workbookViewId="0">
      <selection activeCell="G17" sqref="G17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2" t="s">
        <v>34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x14ac:dyDescent="0.3">
      <c r="A3" s="43" t="s">
        <v>35</v>
      </c>
      <c r="B3" s="44"/>
      <c r="C3" s="44"/>
      <c r="D3" s="44"/>
      <c r="E3" s="44"/>
      <c r="F3" s="44"/>
      <c r="G3" s="44"/>
    </row>
    <row r="4" spans="1:11" x14ac:dyDescent="0.3">
      <c r="A4" s="12"/>
      <c r="B4" s="12" t="s">
        <v>5</v>
      </c>
      <c r="C4" s="12" t="s">
        <v>7</v>
      </c>
      <c r="D4" s="12" t="s">
        <v>9</v>
      </c>
      <c r="E4" s="12" t="s">
        <v>11</v>
      </c>
      <c r="F4" s="12" t="s">
        <v>13</v>
      </c>
      <c r="G4" s="12" t="s">
        <v>15</v>
      </c>
    </row>
    <row r="5" spans="1:11" x14ac:dyDescent="0.3">
      <c r="A5" s="3" t="s">
        <v>5</v>
      </c>
      <c r="B5" s="13">
        <v>1</v>
      </c>
      <c r="C5" s="13">
        <f>IF(Input!$C$5/Input!$C$6&gt;=1,MIN(9,MAX(1,Input!$C$5/Input!$C$6)),MAX(1/9,Input!$C$5/Input!$C$6))</f>
        <v>0.5</v>
      </c>
      <c r="D5" s="13">
        <f>IF(Input!$C$5/Input!$C$7&gt;=1,MIN(9,MAX(1,Input!$C$5/Input!$C$7)),MAX(1/9,Input!$C$5/Input!$C$7))</f>
        <v>0.5</v>
      </c>
      <c r="E5" s="13">
        <f>IF(Input!$C$5/Input!$C$8&gt;=1,MIN(9,MAX(1,Input!$C$5/Input!$C$8)),MAX(1/9,Input!$C$5/Input!$C$8))</f>
        <v>0.33333333333333331</v>
      </c>
      <c r="F5" s="13">
        <f>IF(Input!$C$5/Input!$C$9&gt;=1,MIN(9,MAX(1,Input!$C$5/Input!$C$9)),MAX(1/9,Input!$C$5/Input!$C$9))</f>
        <v>0.25</v>
      </c>
      <c r="G5" s="13">
        <f>IF(Input!$C$5/Input!$C$10&gt;=1,MIN(9,MAX(1,Input!$C$5/Input!$C$10)),MAX(1/9,Input!$C$5/Input!$C$10))</f>
        <v>0.2</v>
      </c>
    </row>
    <row r="6" spans="1:11" x14ac:dyDescent="0.3">
      <c r="A6" s="3" t="s">
        <v>7</v>
      </c>
      <c r="B6" s="13">
        <f>IF(Input!$C$6/Input!$C$5&gt;=1,MIN(9,MAX(1,Input!$C$6/Input!$C$5)),MAX(1/9,Input!$C$6/Input!$C$5))</f>
        <v>2</v>
      </c>
      <c r="C6" s="13">
        <v>1</v>
      </c>
      <c r="D6" s="13">
        <f>IF(Input!$C$6/Input!$C$7&gt;=1,MIN(9,MAX(1,Input!$C$6/Input!$C$7)),MAX(1/9,Input!$C$6/Input!$C$7))</f>
        <v>1</v>
      </c>
      <c r="E6" s="13">
        <f>IF(Input!$C$6/Input!$C$8&gt;=1,MIN(9,MAX(1,Input!$C$6/Input!$C$8)),MAX(1/9,Input!$C$6/Input!$C$8))</f>
        <v>0.66666666666666663</v>
      </c>
      <c r="F6" s="13">
        <f>IF(Input!$C$6/Input!$C$9&gt;=1,MIN(9,MAX(1,Input!$C$6/Input!$C$9)),MAX(1/9,Input!$C$6/Input!$C$9))</f>
        <v>0.5</v>
      </c>
      <c r="G6" s="13">
        <f>IF(Input!$C$6/Input!$C$10&gt;=1,MIN(9,MAX(1,Input!$C$6/Input!$C$10)),MAX(1/9,Input!$C$6/Input!$C$10))</f>
        <v>0.4</v>
      </c>
    </row>
    <row r="7" spans="1:11" x14ac:dyDescent="0.3">
      <c r="A7" s="3" t="s">
        <v>9</v>
      </c>
      <c r="B7" s="13">
        <f>IF(Input!$C$7/Input!$C$5&gt;=1,MIN(9,MAX(1,Input!$C$7/Input!$C$5)),MAX(1/9,Input!$C$7/Input!$C$5))</f>
        <v>2</v>
      </c>
      <c r="C7" s="13">
        <f>IF(Input!$C$7/Input!$C$6&gt;=1,MIN(9,MAX(1,Input!$C$7/Input!$C$6)),MAX(1/9,Input!$C$7/Input!$C$6))</f>
        <v>1</v>
      </c>
      <c r="D7" s="13">
        <v>1</v>
      </c>
      <c r="E7" s="13">
        <f>IF(Input!$C$7/Input!$C$8&gt;=1,MIN(9,MAX(1,Input!$C$7/Input!$C$8)),MAX(1/9,Input!$C$7/Input!$C$8))</f>
        <v>0.66666666666666663</v>
      </c>
      <c r="F7" s="13">
        <f>IF(Input!$C$7/Input!$C$9&gt;=1,MIN(9,MAX(1,Input!$C$7/Input!$C$9)),MAX(1/9,Input!$C$7/Input!$C$9))</f>
        <v>0.5</v>
      </c>
      <c r="G7" s="13">
        <f>IF(Input!$C$7/Input!$C$10&gt;=1,MIN(9,MAX(1,Input!$C$7/Input!$C$10)),MAX(1/9,Input!$C$7/Input!$C$10))</f>
        <v>0.4</v>
      </c>
    </row>
    <row r="8" spans="1:11" x14ac:dyDescent="0.3">
      <c r="A8" s="3" t="s">
        <v>11</v>
      </c>
      <c r="B8" s="13">
        <f>IF(Input!$C$8/Input!$C$5&gt;=1,MIN(9,MAX(1,Input!$C$8/Input!$C$5)),MAX(1/9,Input!$C$8/Input!$C$5))</f>
        <v>3</v>
      </c>
      <c r="C8" s="13">
        <f>IF(Input!$C$8/Input!$C$6&gt;=1,MIN(9,MAX(1,Input!$C$8/Input!$C$6)),MAX(1/9,Input!$C$8/Input!$C$6))</f>
        <v>1.5</v>
      </c>
      <c r="D8" s="13">
        <f>IF(Input!$C$8/Input!$C$7&gt;=1,MIN(9,MAX(1,Input!$C$8/Input!$C$7)),MAX(1/9,Input!$C$8/Input!$C$7))</f>
        <v>1.5</v>
      </c>
      <c r="E8" s="13">
        <v>1</v>
      </c>
      <c r="F8" s="13">
        <f>IF(Input!$C$8/Input!$C$9&gt;=1,MIN(9,MAX(1,Input!$C$8/Input!$C$9)),MAX(1/9,Input!$C$8/Input!$C$9))</f>
        <v>0.75</v>
      </c>
      <c r="G8" s="13">
        <f>IF(Input!$C$8/Input!$C$10&gt;=1,MIN(9,MAX(1,Input!$C$8/Input!$C$10)),MAX(1/9,Input!$C$8/Input!$C$10))</f>
        <v>0.6</v>
      </c>
    </row>
    <row r="9" spans="1:11" x14ac:dyDescent="0.3">
      <c r="A9" s="3" t="s">
        <v>13</v>
      </c>
      <c r="B9" s="13">
        <f>IF(Input!$C$9/Input!$C$5&gt;=1,MIN(9,MAX(1,Input!$C$9/Input!$C$5)),MAX(1/9,Input!$C$9/Input!$C$5))</f>
        <v>4</v>
      </c>
      <c r="C9" s="13">
        <f>IF(Input!$C$9/Input!$C$6&gt;=1,MIN(9,MAX(1,Input!$C$9/Input!$C$6)),MAX(1/9,Input!$C$9/Input!$C$6))</f>
        <v>2</v>
      </c>
      <c r="D9" s="13">
        <f>IF(Input!$C$9/Input!$C$7&gt;=1,MIN(9,MAX(1,Input!$C$9/Input!$C$7)),MAX(1/9,Input!$C$9/Input!$C$7))</f>
        <v>2</v>
      </c>
      <c r="E9" s="13">
        <f>IF(Input!$C$9/Input!$C$8&gt;=1,MIN(9,MAX(1,Input!$C$9/Input!$C$8)),MAX(1/9,Input!$C$9/Input!$C$8))</f>
        <v>1.3333333333333333</v>
      </c>
      <c r="F9" s="13">
        <v>1</v>
      </c>
      <c r="G9" s="13">
        <f>IF(Input!$C$9/Input!$C$10&gt;=1,MIN(9,MAX(1,Input!$C$9/Input!$C$10)),MAX(1/9,Input!$C$9/Input!$C$10))</f>
        <v>0.8</v>
      </c>
    </row>
    <row r="10" spans="1:11" x14ac:dyDescent="0.3">
      <c r="A10" s="3" t="s">
        <v>15</v>
      </c>
      <c r="B10" s="13">
        <f>IF(Input!$C$10/Input!$C$5&gt;=1,MIN(9,MAX(1,Input!$C$10/Input!$C$5)),MAX(1/9,Input!$C$10/Input!$C$5))</f>
        <v>5</v>
      </c>
      <c r="C10" s="13">
        <f>IF(Input!$C$10/Input!$C$6&gt;=1,MIN(9,MAX(1,Input!$C$10/Input!$C$6)),MAX(1/9,Input!$C$10/Input!$C$6))</f>
        <v>2.5</v>
      </c>
      <c r="D10" s="13">
        <f>IF(Input!$C$10/Input!$C$7&gt;=1,MIN(9,MAX(1,Input!$C$10/Input!$C$7)),MAX(1/9,Input!$C$10/Input!$C$7))</f>
        <v>2.5</v>
      </c>
      <c r="E10" s="13">
        <f>IF(Input!$C$10/Input!$C$8&gt;=1,MIN(9,MAX(1,Input!$C$10/Input!$C$8)),MAX(1/9,Input!$C$10/Input!$C$8))</f>
        <v>1.6666666666666667</v>
      </c>
      <c r="F10" s="13">
        <f>IF(Input!$C$10/Input!$C$9&gt;=1,MIN(9,MAX(1,Input!$C$10/Input!$C$9)),MAX(1/9,Input!$C$10/Input!$C$9))</f>
        <v>1.25</v>
      </c>
      <c r="G10" s="13">
        <v>1</v>
      </c>
    </row>
    <row r="12" spans="1:11" x14ac:dyDescent="0.3">
      <c r="A12" s="50" t="s">
        <v>36</v>
      </c>
      <c r="B12" s="51"/>
      <c r="C12" s="51"/>
      <c r="D12" s="51"/>
      <c r="E12" s="51"/>
      <c r="F12" s="51"/>
      <c r="G12" s="51"/>
    </row>
    <row r="13" spans="1:11" ht="28.8" x14ac:dyDescent="0.3">
      <c r="A13" s="14" t="s">
        <v>3</v>
      </c>
      <c r="B13" s="14" t="s">
        <v>37</v>
      </c>
      <c r="C13" s="14" t="s">
        <v>38</v>
      </c>
    </row>
    <row r="14" spans="1:11" x14ac:dyDescent="0.3">
      <c r="A14" s="3" t="s">
        <v>6</v>
      </c>
      <c r="B14" s="15">
        <f t="shared" ref="B14:B19" si="0">(B5*C5*D5*E5*F5*G5)^(1/6)</f>
        <v>0.40114199161178782</v>
      </c>
      <c r="C14" s="15">
        <f t="shared" ref="C14:C19" si="1">B14/$B$20</f>
        <v>5.8823529411764719E-2</v>
      </c>
    </row>
    <row r="15" spans="1:11" x14ac:dyDescent="0.3">
      <c r="A15" s="3" t="s">
        <v>8</v>
      </c>
      <c r="B15" s="15">
        <f t="shared" si="0"/>
        <v>0.80228398322357564</v>
      </c>
      <c r="C15" s="15">
        <f t="shared" si="1"/>
        <v>0.11764705882352944</v>
      </c>
    </row>
    <row r="16" spans="1:11" x14ac:dyDescent="0.3">
      <c r="A16" s="3" t="s">
        <v>10</v>
      </c>
      <c r="B16" s="15">
        <f t="shared" si="0"/>
        <v>0.80228398322357564</v>
      </c>
      <c r="C16" s="15">
        <f t="shared" si="1"/>
        <v>0.11764705882352944</v>
      </c>
    </row>
    <row r="17" spans="1:7" x14ac:dyDescent="0.3">
      <c r="A17" s="3" t="s">
        <v>12</v>
      </c>
      <c r="B17" s="15">
        <f t="shared" si="0"/>
        <v>1.2034259748353633</v>
      </c>
      <c r="C17" s="15">
        <f t="shared" si="1"/>
        <v>0.17647058823529413</v>
      </c>
    </row>
    <row r="18" spans="1:7" x14ac:dyDescent="0.3">
      <c r="A18" s="3" t="s">
        <v>14</v>
      </c>
      <c r="B18" s="15">
        <f t="shared" si="0"/>
        <v>1.6045679664471511</v>
      </c>
      <c r="C18" s="15">
        <f t="shared" si="1"/>
        <v>0.23529411764705885</v>
      </c>
    </row>
    <row r="19" spans="1:7" x14ac:dyDescent="0.3">
      <c r="A19" s="3" t="s">
        <v>16</v>
      </c>
      <c r="B19" s="15">
        <f t="shared" si="0"/>
        <v>2.0057099580589388</v>
      </c>
      <c r="C19" s="15">
        <f t="shared" si="1"/>
        <v>0.29411764705882354</v>
      </c>
    </row>
    <row r="20" spans="1:7" x14ac:dyDescent="0.3">
      <c r="A20" s="4" t="s">
        <v>39</v>
      </c>
      <c r="B20" s="16">
        <f>SUM(B14:B19)</f>
        <v>6.8194138574003915</v>
      </c>
      <c r="C20" s="17">
        <f>SUM(C14:C19)</f>
        <v>1.0000000000000002</v>
      </c>
    </row>
    <row r="22" spans="1:7" x14ac:dyDescent="0.3">
      <c r="A22" s="45" t="s">
        <v>40</v>
      </c>
      <c r="B22" s="46"/>
      <c r="C22" s="46"/>
      <c r="D22" s="46"/>
      <c r="E22" s="46"/>
      <c r="F22" s="46"/>
      <c r="G22" s="46"/>
    </row>
    <row r="23" spans="1:7" x14ac:dyDescent="0.3">
      <c r="A23" s="18" t="s">
        <v>3</v>
      </c>
      <c r="B23" s="18" t="s">
        <v>41</v>
      </c>
      <c r="C23" s="18" t="s">
        <v>42</v>
      </c>
    </row>
    <row r="24" spans="1:7" x14ac:dyDescent="0.3">
      <c r="A24" s="3" t="s">
        <v>6</v>
      </c>
      <c r="B24" s="19">
        <f t="shared" ref="B24:B29" si="2">B5*$C$14+C5*$C$15+D5*$C$16+E5*$C$17+F5*$C$18+G5*$C$19</f>
        <v>0.35294117647058831</v>
      </c>
      <c r="C24" s="19">
        <f>B24/$C$14</f>
        <v>6</v>
      </c>
    </row>
    <row r="25" spans="1:7" x14ac:dyDescent="0.3">
      <c r="A25" s="3" t="s">
        <v>8</v>
      </c>
      <c r="B25" s="19">
        <f t="shared" si="2"/>
        <v>0.70588235294117663</v>
      </c>
      <c r="C25" s="19">
        <f>B25/$C$15</f>
        <v>6</v>
      </c>
    </row>
    <row r="26" spans="1:7" x14ac:dyDescent="0.3">
      <c r="A26" s="3" t="s">
        <v>10</v>
      </c>
      <c r="B26" s="19">
        <f t="shared" si="2"/>
        <v>0.70588235294117663</v>
      </c>
      <c r="C26" s="19">
        <f>B26/$C$16</f>
        <v>6</v>
      </c>
    </row>
    <row r="27" spans="1:7" x14ac:dyDescent="0.3">
      <c r="A27" s="3" t="s">
        <v>12</v>
      </c>
      <c r="B27" s="19">
        <f t="shared" si="2"/>
        <v>1.0588235294117649</v>
      </c>
      <c r="C27" s="19">
        <f>B27/$C$17</f>
        <v>6.0000000000000009</v>
      </c>
    </row>
    <row r="28" spans="1:7" x14ac:dyDescent="0.3">
      <c r="A28" s="3" t="s">
        <v>14</v>
      </c>
      <c r="B28" s="19">
        <f t="shared" si="2"/>
        <v>1.4117647058823533</v>
      </c>
      <c r="C28" s="19">
        <f>B28/$C$18</f>
        <v>6.0000000000000009</v>
      </c>
    </row>
    <row r="29" spans="1:7" x14ac:dyDescent="0.3">
      <c r="A29" s="3" t="s">
        <v>16</v>
      </c>
      <c r="B29" s="19">
        <f t="shared" si="2"/>
        <v>1.7647058823529416</v>
      </c>
      <c r="C29" s="19">
        <f>B29/$C$19</f>
        <v>6.0000000000000009</v>
      </c>
    </row>
    <row r="31" spans="1:7" x14ac:dyDescent="0.3">
      <c r="A31" s="20" t="s">
        <v>43</v>
      </c>
      <c r="B31" s="16">
        <f>AVERAGE(C24:C29)</f>
        <v>6</v>
      </c>
    </row>
    <row r="32" spans="1:7" x14ac:dyDescent="0.3">
      <c r="A32" s="20" t="s">
        <v>44</v>
      </c>
      <c r="B32" s="19">
        <f>(B31-6)/(6-1)</f>
        <v>0</v>
      </c>
    </row>
    <row r="33" spans="1:4" x14ac:dyDescent="0.3">
      <c r="A33" s="20" t="s">
        <v>45</v>
      </c>
      <c r="B33" s="4">
        <v>1.24</v>
      </c>
    </row>
    <row r="34" spans="1:4" x14ac:dyDescent="0.3">
      <c r="A34" s="20" t="s">
        <v>46</v>
      </c>
      <c r="B34" s="16">
        <f>B32/B33</f>
        <v>0</v>
      </c>
    </row>
    <row r="35" spans="1:4" x14ac:dyDescent="0.3">
      <c r="A35" s="20" t="s">
        <v>47</v>
      </c>
      <c r="B35" s="47" t="str">
        <f>IF(B34&lt;=0.1,"KONSISTEN","TIDAK KONSISTEN")</f>
        <v>KONSISTEN</v>
      </c>
      <c r="C35" s="48"/>
      <c r="D35" s="49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2"/>
  <sheetViews>
    <sheetView tabSelected="1" topLeftCell="A40" workbookViewId="0">
      <selection activeCell="C55" sqref="C55"/>
    </sheetView>
  </sheetViews>
  <sheetFormatPr defaultRowHeight="14.4" x14ac:dyDescent="0.3"/>
  <cols>
    <col min="1" max="1" width="25" customWidth="1"/>
    <col min="2" max="22" width="8" customWidth="1"/>
  </cols>
  <sheetData>
    <row r="1" spans="1:20" ht="18" x14ac:dyDescent="0.35">
      <c r="A1" s="42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3" spans="1:20" x14ac:dyDescent="0.3">
      <c r="A3" s="58" t="s">
        <v>49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0" x14ac:dyDescent="0.3">
      <c r="A4" s="21"/>
      <c r="B4" s="54" t="s">
        <v>5</v>
      </c>
      <c r="C4" s="38"/>
      <c r="D4" s="38"/>
      <c r="E4" s="54" t="s">
        <v>7</v>
      </c>
      <c r="F4" s="38"/>
      <c r="G4" s="38"/>
      <c r="H4" s="54" t="s">
        <v>9</v>
      </c>
      <c r="I4" s="38"/>
      <c r="J4" s="38"/>
      <c r="K4" s="54" t="s">
        <v>11</v>
      </c>
      <c r="L4" s="38"/>
      <c r="M4" s="38"/>
      <c r="N4" s="54" t="s">
        <v>13</v>
      </c>
      <c r="O4" s="38"/>
      <c r="P4" s="38"/>
      <c r="Q4" s="54" t="s">
        <v>15</v>
      </c>
      <c r="R4" s="38"/>
      <c r="S4" s="38"/>
    </row>
    <row r="5" spans="1:20" x14ac:dyDescent="0.3">
      <c r="A5" s="21"/>
      <c r="B5" s="22" t="s">
        <v>50</v>
      </c>
      <c r="C5" s="22" t="s">
        <v>51</v>
      </c>
      <c r="D5" s="22" t="s">
        <v>52</v>
      </c>
      <c r="E5" s="22" t="s">
        <v>50</v>
      </c>
      <c r="F5" s="22" t="s">
        <v>51</v>
      </c>
      <c r="G5" s="22" t="s">
        <v>52</v>
      </c>
      <c r="H5" s="22" t="s">
        <v>50</v>
      </c>
      <c r="I5" s="22" t="s">
        <v>51</v>
      </c>
      <c r="J5" s="22" t="s">
        <v>52</v>
      </c>
      <c r="K5" s="22" t="s">
        <v>50</v>
      </c>
      <c r="L5" s="22" t="s">
        <v>51</v>
      </c>
      <c r="M5" s="22" t="s">
        <v>52</v>
      </c>
      <c r="N5" s="22" t="s">
        <v>50</v>
      </c>
      <c r="O5" s="22" t="s">
        <v>51</v>
      </c>
      <c r="P5" s="22" t="s">
        <v>52</v>
      </c>
      <c r="Q5" s="22" t="s">
        <v>50</v>
      </c>
      <c r="R5" s="22" t="s">
        <v>51</v>
      </c>
      <c r="S5" s="22" t="s">
        <v>52</v>
      </c>
    </row>
    <row r="6" spans="1:20" x14ac:dyDescent="0.3">
      <c r="A6" s="3" t="s">
        <v>5</v>
      </c>
      <c r="B6" s="13">
        <v>1</v>
      </c>
      <c r="C6" s="13">
        <v>1</v>
      </c>
      <c r="D6" s="13">
        <v>1</v>
      </c>
      <c r="E6" s="23">
        <v>0.67</v>
      </c>
      <c r="F6" s="23">
        <v>1</v>
      </c>
      <c r="G6" s="23">
        <v>2</v>
      </c>
      <c r="H6" s="23">
        <v>0.67</v>
      </c>
      <c r="I6" s="23">
        <v>1</v>
      </c>
      <c r="J6" s="23">
        <v>2</v>
      </c>
      <c r="K6" s="23">
        <v>0.5</v>
      </c>
      <c r="L6" s="23">
        <v>0.67</v>
      </c>
      <c r="M6" s="23">
        <v>1</v>
      </c>
      <c r="N6" s="23">
        <v>0.4</v>
      </c>
      <c r="O6" s="23">
        <v>0.5</v>
      </c>
      <c r="P6" s="23">
        <v>0.67</v>
      </c>
      <c r="Q6" s="23">
        <v>0.33</v>
      </c>
      <c r="R6" s="23">
        <v>0.4</v>
      </c>
      <c r="S6" s="23">
        <v>0.5</v>
      </c>
    </row>
    <row r="7" spans="1:20" x14ac:dyDescent="0.3">
      <c r="A7" s="3" t="s">
        <v>7</v>
      </c>
      <c r="B7" s="23">
        <v>0.5</v>
      </c>
      <c r="C7" s="23">
        <v>1</v>
      </c>
      <c r="D7" s="23">
        <v>1.5</v>
      </c>
      <c r="E7" s="13">
        <v>1</v>
      </c>
      <c r="F7" s="13">
        <v>1</v>
      </c>
      <c r="G7" s="13">
        <v>1</v>
      </c>
      <c r="H7" s="23">
        <v>1</v>
      </c>
      <c r="I7" s="23">
        <v>1</v>
      </c>
      <c r="J7" s="23">
        <v>1</v>
      </c>
      <c r="K7" s="23">
        <v>0.67</v>
      </c>
      <c r="L7" s="23">
        <v>1</v>
      </c>
      <c r="M7" s="23">
        <v>2</v>
      </c>
      <c r="N7" s="23">
        <v>0.67</v>
      </c>
      <c r="O7" s="23">
        <v>1</v>
      </c>
      <c r="P7" s="23">
        <v>2</v>
      </c>
      <c r="Q7" s="23">
        <v>0.67</v>
      </c>
      <c r="R7" s="23">
        <v>1</v>
      </c>
      <c r="S7" s="23">
        <v>2</v>
      </c>
    </row>
    <row r="8" spans="1:20" x14ac:dyDescent="0.3">
      <c r="A8" s="3" t="s">
        <v>9</v>
      </c>
      <c r="B8" s="23">
        <v>0.5</v>
      </c>
      <c r="C8" s="23">
        <v>1</v>
      </c>
      <c r="D8" s="23">
        <v>1.5</v>
      </c>
      <c r="E8" s="23">
        <v>1</v>
      </c>
      <c r="F8" s="23">
        <v>1</v>
      </c>
      <c r="G8" s="23">
        <v>1</v>
      </c>
      <c r="H8" s="13">
        <v>1</v>
      </c>
      <c r="I8" s="13">
        <v>1</v>
      </c>
      <c r="J8" s="13">
        <v>1</v>
      </c>
      <c r="K8" s="23">
        <v>0.67</v>
      </c>
      <c r="L8" s="23">
        <v>1</v>
      </c>
      <c r="M8" s="23">
        <v>2</v>
      </c>
      <c r="N8" s="23">
        <v>0.67</v>
      </c>
      <c r="O8" s="23">
        <v>1</v>
      </c>
      <c r="P8" s="23">
        <v>2</v>
      </c>
      <c r="Q8" s="23">
        <v>0.67</v>
      </c>
      <c r="R8" s="23">
        <v>1</v>
      </c>
      <c r="S8" s="23">
        <v>2</v>
      </c>
    </row>
    <row r="9" spans="1:20" x14ac:dyDescent="0.3">
      <c r="A9" s="3" t="s">
        <v>11</v>
      </c>
      <c r="B9" s="23">
        <v>1</v>
      </c>
      <c r="C9" s="23">
        <v>1.5</v>
      </c>
      <c r="D9" s="23">
        <v>2</v>
      </c>
      <c r="E9" s="23">
        <v>0.5</v>
      </c>
      <c r="F9" s="23">
        <v>1</v>
      </c>
      <c r="G9" s="23">
        <v>1.5</v>
      </c>
      <c r="H9" s="23">
        <v>0.5</v>
      </c>
      <c r="I9" s="23">
        <v>1</v>
      </c>
      <c r="J9" s="23">
        <v>1.5</v>
      </c>
      <c r="K9" s="13">
        <v>1</v>
      </c>
      <c r="L9" s="13">
        <v>1</v>
      </c>
      <c r="M9" s="13">
        <v>1</v>
      </c>
      <c r="N9" s="23">
        <v>1</v>
      </c>
      <c r="O9" s="23">
        <v>1</v>
      </c>
      <c r="P9" s="23">
        <v>1</v>
      </c>
      <c r="Q9" s="23">
        <v>0.67</v>
      </c>
      <c r="R9" s="23">
        <v>1</v>
      </c>
      <c r="S9" s="23">
        <v>2</v>
      </c>
    </row>
    <row r="10" spans="1:20" x14ac:dyDescent="0.3">
      <c r="A10" s="3" t="s">
        <v>13</v>
      </c>
      <c r="B10" s="23">
        <v>1.5</v>
      </c>
      <c r="C10" s="23">
        <v>2</v>
      </c>
      <c r="D10" s="23">
        <v>2.5</v>
      </c>
      <c r="E10" s="23">
        <v>0.5</v>
      </c>
      <c r="F10" s="23">
        <v>1</v>
      </c>
      <c r="G10" s="23">
        <v>1.5</v>
      </c>
      <c r="H10" s="23">
        <v>0.5</v>
      </c>
      <c r="I10" s="23">
        <v>1</v>
      </c>
      <c r="J10" s="23">
        <v>1.5</v>
      </c>
      <c r="K10" s="23">
        <v>1</v>
      </c>
      <c r="L10" s="23">
        <v>1</v>
      </c>
      <c r="M10" s="23">
        <v>1</v>
      </c>
      <c r="N10" s="13">
        <v>1</v>
      </c>
      <c r="O10" s="13">
        <v>1</v>
      </c>
      <c r="P10" s="13">
        <v>1</v>
      </c>
      <c r="Q10" s="23">
        <v>1</v>
      </c>
      <c r="R10" s="23">
        <v>1</v>
      </c>
      <c r="S10" s="23">
        <v>1</v>
      </c>
    </row>
    <row r="11" spans="1:20" x14ac:dyDescent="0.3">
      <c r="A11" s="3" t="s">
        <v>15</v>
      </c>
      <c r="B11" s="23">
        <v>2</v>
      </c>
      <c r="C11" s="23">
        <v>2.5</v>
      </c>
      <c r="D11" s="23">
        <v>3</v>
      </c>
      <c r="E11" s="23">
        <v>0.5</v>
      </c>
      <c r="F11" s="23">
        <v>1</v>
      </c>
      <c r="G11" s="23">
        <v>1.5</v>
      </c>
      <c r="H11" s="23">
        <v>0.5</v>
      </c>
      <c r="I11" s="23">
        <v>1</v>
      </c>
      <c r="J11" s="23">
        <v>1.5</v>
      </c>
      <c r="K11" s="23">
        <v>0.5</v>
      </c>
      <c r="L11" s="23">
        <v>1</v>
      </c>
      <c r="M11" s="23">
        <v>1.5</v>
      </c>
      <c r="N11" s="23">
        <v>1</v>
      </c>
      <c r="O11" s="23">
        <v>1</v>
      </c>
      <c r="P11" s="23">
        <v>1</v>
      </c>
      <c r="Q11" s="13">
        <v>1</v>
      </c>
      <c r="R11" s="13">
        <v>1</v>
      </c>
      <c r="S11" s="13">
        <v>1</v>
      </c>
    </row>
    <row r="13" spans="1:20" x14ac:dyDescent="0.3">
      <c r="A13" s="55" t="s">
        <v>53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spans="1:20" x14ac:dyDescent="0.3">
      <c r="A14" s="24" t="s">
        <v>54</v>
      </c>
    </row>
    <row r="15" spans="1:20" x14ac:dyDescent="0.3">
      <c r="A15" s="25" t="s">
        <v>3</v>
      </c>
      <c r="B15" s="25" t="s">
        <v>55</v>
      </c>
      <c r="C15" s="25" t="s">
        <v>56</v>
      </c>
      <c r="D15" s="25" t="s">
        <v>57</v>
      </c>
    </row>
    <row r="16" spans="1:20" x14ac:dyDescent="0.3">
      <c r="A16" s="3" t="s">
        <v>6</v>
      </c>
      <c r="B16" s="26">
        <f t="shared" ref="B16:D21" si="0">B6+E6+H6+K6+N6+Q6</f>
        <v>3.57</v>
      </c>
      <c r="C16" s="26">
        <f t="shared" si="0"/>
        <v>4.57</v>
      </c>
      <c r="D16" s="26">
        <f t="shared" si="0"/>
        <v>7.17</v>
      </c>
    </row>
    <row r="17" spans="1:4" x14ac:dyDescent="0.3">
      <c r="A17" s="3" t="s">
        <v>8</v>
      </c>
      <c r="B17" s="26">
        <f t="shared" si="0"/>
        <v>4.51</v>
      </c>
      <c r="C17" s="26">
        <f t="shared" si="0"/>
        <v>6</v>
      </c>
      <c r="D17" s="26">
        <f t="shared" si="0"/>
        <v>9.5</v>
      </c>
    </row>
    <row r="18" spans="1:4" x14ac:dyDescent="0.3">
      <c r="A18" s="3" t="s">
        <v>10</v>
      </c>
      <c r="B18" s="26">
        <f t="shared" si="0"/>
        <v>4.51</v>
      </c>
      <c r="C18" s="26">
        <f t="shared" si="0"/>
        <v>6</v>
      </c>
      <c r="D18" s="26">
        <f t="shared" si="0"/>
        <v>9.5</v>
      </c>
    </row>
    <row r="19" spans="1:4" x14ac:dyDescent="0.3">
      <c r="A19" s="3" t="s">
        <v>12</v>
      </c>
      <c r="B19" s="26">
        <f t="shared" si="0"/>
        <v>4.67</v>
      </c>
      <c r="C19" s="26">
        <f t="shared" si="0"/>
        <v>6.5</v>
      </c>
      <c r="D19" s="26">
        <f t="shared" si="0"/>
        <v>9</v>
      </c>
    </row>
    <row r="20" spans="1:4" x14ac:dyDescent="0.3">
      <c r="A20" s="3" t="s">
        <v>14</v>
      </c>
      <c r="B20" s="26">
        <f t="shared" si="0"/>
        <v>5.5</v>
      </c>
      <c r="C20" s="26">
        <f t="shared" si="0"/>
        <v>7</v>
      </c>
      <c r="D20" s="26">
        <f t="shared" si="0"/>
        <v>8.5</v>
      </c>
    </row>
    <row r="21" spans="1:4" x14ac:dyDescent="0.3">
      <c r="A21" s="3" t="s">
        <v>16</v>
      </c>
      <c r="B21" s="26">
        <f t="shared" si="0"/>
        <v>5.5</v>
      </c>
      <c r="C21" s="26">
        <f t="shared" si="0"/>
        <v>7.5</v>
      </c>
      <c r="D21" s="26">
        <f t="shared" si="0"/>
        <v>9.5</v>
      </c>
    </row>
    <row r="22" spans="1:4" x14ac:dyDescent="0.3">
      <c r="A22" s="4" t="s">
        <v>39</v>
      </c>
      <c r="B22" s="27">
        <f>SUM(B16:B21)</f>
        <v>28.259999999999998</v>
      </c>
      <c r="C22" s="27">
        <f>SUM(C16:C21)</f>
        <v>37.57</v>
      </c>
      <c r="D22" s="27">
        <f>SUM(D16:D21)</f>
        <v>53.17</v>
      </c>
    </row>
    <row r="24" spans="1:4" x14ac:dyDescent="0.3">
      <c r="A24" s="24" t="s">
        <v>58</v>
      </c>
    </row>
    <row r="25" spans="1:4" x14ac:dyDescent="0.3">
      <c r="A25" s="25" t="s">
        <v>3</v>
      </c>
      <c r="B25" s="25" t="s">
        <v>59</v>
      </c>
      <c r="C25" s="25" t="s">
        <v>60</v>
      </c>
      <c r="D25" s="25" t="s">
        <v>61</v>
      </c>
    </row>
    <row r="26" spans="1:4" x14ac:dyDescent="0.3">
      <c r="A26" s="3" t="s">
        <v>6</v>
      </c>
      <c r="B26" s="28">
        <f t="shared" ref="B26:B31" si="1">B16/$D$22</f>
        <v>6.7143125822832425E-2</v>
      </c>
      <c r="C26" s="28">
        <f t="shared" ref="C26:C31" si="2">C16/$C$22</f>
        <v>0.12163960606867182</v>
      </c>
      <c r="D26" s="28">
        <f t="shared" ref="D26:D31" si="3">D16/$B$22</f>
        <v>0.25371549893842887</v>
      </c>
    </row>
    <row r="27" spans="1:4" x14ac:dyDescent="0.3">
      <c r="A27" s="3" t="s">
        <v>8</v>
      </c>
      <c r="B27" s="28">
        <f t="shared" si="1"/>
        <v>8.4822268196351316E-2</v>
      </c>
      <c r="C27" s="28">
        <f t="shared" si="2"/>
        <v>0.15970188980569602</v>
      </c>
      <c r="D27" s="28">
        <f t="shared" si="3"/>
        <v>0.33616418966737438</v>
      </c>
    </row>
    <row r="28" spans="1:4" x14ac:dyDescent="0.3">
      <c r="A28" s="3" t="s">
        <v>10</v>
      </c>
      <c r="B28" s="28">
        <f t="shared" si="1"/>
        <v>8.4822268196351316E-2</v>
      </c>
      <c r="C28" s="28">
        <f t="shared" si="2"/>
        <v>0.15970188980569602</v>
      </c>
      <c r="D28" s="28">
        <f t="shared" si="3"/>
        <v>0.33616418966737438</v>
      </c>
    </row>
    <row r="29" spans="1:4" x14ac:dyDescent="0.3">
      <c r="A29" s="3" t="s">
        <v>12</v>
      </c>
      <c r="B29" s="28">
        <f t="shared" si="1"/>
        <v>8.7831483919503475E-2</v>
      </c>
      <c r="C29" s="28">
        <f t="shared" si="2"/>
        <v>0.17301038062283736</v>
      </c>
      <c r="D29" s="28">
        <f t="shared" si="3"/>
        <v>0.31847133757961787</v>
      </c>
    </row>
    <row r="30" spans="1:4" x14ac:dyDescent="0.3">
      <c r="A30" s="3" t="s">
        <v>14</v>
      </c>
      <c r="B30" s="28">
        <f t="shared" si="1"/>
        <v>0.10344179048335528</v>
      </c>
      <c r="C30" s="28">
        <f t="shared" si="2"/>
        <v>0.18631887143997872</v>
      </c>
      <c r="D30" s="28">
        <f t="shared" si="3"/>
        <v>0.30077848549186131</v>
      </c>
    </row>
    <row r="31" spans="1:4" x14ac:dyDescent="0.3">
      <c r="A31" s="3" t="s">
        <v>16</v>
      </c>
      <c r="B31" s="28">
        <f t="shared" si="1"/>
        <v>0.10344179048335528</v>
      </c>
      <c r="C31" s="28">
        <f t="shared" si="2"/>
        <v>0.19962736225712005</v>
      </c>
      <c r="D31" s="28">
        <f t="shared" si="3"/>
        <v>0.33616418966737438</v>
      </c>
    </row>
    <row r="33" spans="1:19" x14ac:dyDescent="0.3">
      <c r="A33" s="52" t="s">
        <v>62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</row>
    <row r="34" spans="1:19" x14ac:dyDescent="0.3">
      <c r="A34" s="57" t="s">
        <v>63</v>
      </c>
      <c r="B34" s="38"/>
      <c r="C34" s="38"/>
      <c r="D34" s="38"/>
      <c r="E34" s="38"/>
      <c r="F34" s="38"/>
      <c r="G34" s="38"/>
    </row>
    <row r="35" spans="1:19" x14ac:dyDescent="0.3">
      <c r="A35" s="30" t="s">
        <v>64</v>
      </c>
    </row>
    <row r="36" spans="1:19" x14ac:dyDescent="0.3">
      <c r="A36" s="31" t="s">
        <v>65</v>
      </c>
      <c r="B36" s="31" t="s">
        <v>5</v>
      </c>
      <c r="C36" s="31" t="s">
        <v>7</v>
      </c>
      <c r="D36" s="31" t="s">
        <v>9</v>
      </c>
      <c r="E36" s="31" t="s">
        <v>11</v>
      </c>
      <c r="F36" s="31" t="s">
        <v>13</v>
      </c>
      <c r="G36" s="31" t="s">
        <v>15</v>
      </c>
    </row>
    <row r="37" spans="1:19" x14ac:dyDescent="0.3">
      <c r="A37" s="3" t="s">
        <v>5</v>
      </c>
      <c r="B37" s="3" t="s">
        <v>66</v>
      </c>
      <c r="C37" s="32">
        <f>IF($C$26&gt;=$C$27,1,IF($B$27&gt;=$D$26,0,($B$27-$D$26)/(($C$26-$D$26)-($C$27-$B$27))))</f>
        <v>0.81608470867362315</v>
      </c>
      <c r="D37" s="32">
        <f>IF($C$26&gt;=$C$28,1,IF($B$28&gt;=$D$26,0,($B$28-$D$26)/(($C$26-$D$26)-($C$28-$B$28))))</f>
        <v>0.81608470867362315</v>
      </c>
      <c r="E37" s="32">
        <f>IF($C$26&gt;=$C$29,1,IF($B$29&gt;=$D$26,0,($B$29-$D$26)/(($C$26-$D$26)-($C$29-$B$29))))</f>
        <v>0.7635459514834636</v>
      </c>
      <c r="F37" s="32">
        <f>IF($C$26&gt;=$C$30,1,IF($B$30&gt;=$D$26,0,($B$30-$D$26)/(($C$26-$D$26)-($C$30-$B$30))))</f>
        <v>0.69910039289082382</v>
      </c>
      <c r="G37" s="32">
        <f>IF($C$26&gt;=$C$31,1,IF($B$31&gt;=$D$26,0,($B$31-$D$26)/(($C$26-$D$26)-($C$31-$B$31))))</f>
        <v>0.65834024455138551</v>
      </c>
    </row>
    <row r="38" spans="1:19" x14ac:dyDescent="0.3">
      <c r="A38" s="3" t="s">
        <v>7</v>
      </c>
      <c r="B38" s="32">
        <f>IF($C$27&gt;=$C$26,1,IF($B$26&gt;=$D$27,0,($B$26-$D$27)/(($C$27-$D$27)-($C$26-$B$26))))</f>
        <v>1</v>
      </c>
      <c r="C38" s="3" t="s">
        <v>66</v>
      </c>
      <c r="D38" s="32">
        <f>IF($C$27&gt;=$C$28,1,IF($B$28&gt;=$D$27,0,($B$28-$D$27)/(($C$27-$D$27)-($C$28-$B$28))))</f>
        <v>1</v>
      </c>
      <c r="E38" s="32">
        <f>IF($C$27&gt;=$C$29,1,IF($B$29&gt;=$D$27,0,($B$29-$D$27)/(($C$27-$D$27)-($C$29-$B$29))))</f>
        <v>0.94913457440241289</v>
      </c>
      <c r="F38" s="32">
        <f>IF($C$27&gt;=$C$30,1,IF($B$30&gt;=$D$27,0,($B$30-$D$27)/(($C$27-$D$27)-($C$30-$B$30))))</f>
        <v>0.89736621738550748</v>
      </c>
      <c r="G38" s="32">
        <f>IF($C$27&gt;=$C$31,1,IF($B$31&gt;=$D$27,0,($B$31-$D$27)/(($C$27-$D$27)-($C$31-$B$31))))</f>
        <v>0.85356396801509493</v>
      </c>
    </row>
    <row r="39" spans="1:19" x14ac:dyDescent="0.3">
      <c r="A39" s="3" t="s">
        <v>9</v>
      </c>
      <c r="B39" s="32">
        <f>IF($C$28&gt;=$C$26,1,IF($B$26&gt;=$D$28,0,($B$26-$D$28)/(($C$28-$D$28)-($C$26-$B$26))))</f>
        <v>1</v>
      </c>
      <c r="C39" s="32">
        <f>IF($C$28&gt;=$C$27,1,IF($B$27&gt;=$D$28,0,($B$27-$D$28)/(($C$28-$D$28)-($C$27-$B$27))))</f>
        <v>1</v>
      </c>
      <c r="D39" s="3" t="s">
        <v>66</v>
      </c>
      <c r="E39" s="32">
        <f>IF($C$28&gt;=$C$29,1,IF($B$29&gt;=$D$28,0,($B$29-$D$28)/(($C$28-$D$28)-($C$29-$B$29))))</f>
        <v>0.94913457440241289</v>
      </c>
      <c r="F39" s="32">
        <f>IF($C$28&gt;=$C$30,1,IF($B$30&gt;=$D$28,0,($B$30-$D$28)/(($C$28-$D$28)-($C$30-$B$30))))</f>
        <v>0.89736621738550748</v>
      </c>
      <c r="G39" s="32">
        <f>IF($C$28&gt;=$C$31,1,IF($B$31&gt;=$D$28,0,($B$31-$D$28)/(($C$28-$D$28)-($C$31-$B$31))))</f>
        <v>0.85356396801509493</v>
      </c>
    </row>
    <row r="40" spans="1:19" x14ac:dyDescent="0.3">
      <c r="A40" s="3" t="s">
        <v>11</v>
      </c>
      <c r="B40" s="32">
        <f>IF($C$29&gt;=$C$26,1,IF($B$26&gt;=$D$29,0,($B$26-$D$29)/(($C$29-$D$29)-($C$26-$B$26))))</f>
        <v>1</v>
      </c>
      <c r="C40" s="32">
        <f>IF($C$29&gt;=$C$27,1,IF($B$27&gt;=$D$29,0,($B$27-$D$29)/(($C$29-$D$29)-($C$27-$B$27))))</f>
        <v>1</v>
      </c>
      <c r="D40" s="32">
        <f>IF($C$29&gt;=$C$28,1,IF($B$28&gt;=$D$29,0,($B$28-$D$29)/(($C$29-$D$29)-($C$28-$B$28))))</f>
        <v>1</v>
      </c>
      <c r="E40" s="3" t="s">
        <v>66</v>
      </c>
      <c r="F40" s="32">
        <f>IF($C$29&gt;=$C$30,1,IF($B$30&gt;=$D$29,0,($B$30-$D$29)/(($C$29-$D$29)-($C$30-$B$30))))</f>
        <v>0.94171583964390315</v>
      </c>
      <c r="G40" s="32">
        <f>IF($C$29&gt;=$C$31,1,IF($B$31&gt;=$D$29,0,($B$31-$D$29)/(($C$29-$D$29)-($C$31-$B$31))))</f>
        <v>0.88985158705109024</v>
      </c>
    </row>
    <row r="41" spans="1:19" x14ac:dyDescent="0.3">
      <c r="A41" s="3" t="s">
        <v>13</v>
      </c>
      <c r="B41" s="32">
        <f>IF($C$30&gt;=$C$26,1,IF($B$26&gt;=$D$30,0,($B$26-$D$30)/(($C$30-$D$30)-($C$26-$B$26))))</f>
        <v>1</v>
      </c>
      <c r="C41" s="32">
        <f>IF($C$30&gt;=$C$27,1,IF($B$27&gt;=$D$30,0,($B$27-$D$30)/(($C$30-$D$30)-($C$27-$B$27))))</f>
        <v>1</v>
      </c>
      <c r="D41" s="32">
        <f>IF($C$30&gt;=$C$28,1,IF($B$28&gt;=$D$30,0,($B$28-$D$30)/(($C$30-$D$30)-($C$28-$B$28))))</f>
        <v>1</v>
      </c>
      <c r="E41" s="32">
        <f>IF($C$30&gt;=$C$29,1,IF($B$29&gt;=$D$30,0,($B$29-$D$30)/(($C$30-$D$30)-($C$29-$B$29))))</f>
        <v>1</v>
      </c>
      <c r="F41" s="3" t="s">
        <v>66</v>
      </c>
      <c r="G41" s="32">
        <f>IF($C$30&gt;=$C$31,1,IF($B$31&gt;=$D$30,0,($B$31-$D$30)/(($C$30-$D$30)-($C$31-$B$31))))</f>
        <v>0.93682034191772667</v>
      </c>
    </row>
    <row r="42" spans="1:19" x14ac:dyDescent="0.3">
      <c r="A42" s="3" t="s">
        <v>15</v>
      </c>
      <c r="B42" s="32">
        <f>IF($C$31&gt;=$C$26,1,IF($B$26&gt;=$D$31,0,($B$26-$D$31)/(($C$31-$D$31)-($C$26-$B$26))))</f>
        <v>1</v>
      </c>
      <c r="C42" s="32">
        <f>IF($C$31&gt;=$C$27,1,IF($B$27&gt;=$D$31,0,($B$27-$D$31)/(($C$31-$D$31)-($C$27-$B$27))))</f>
        <v>1</v>
      </c>
      <c r="D42" s="32">
        <f>IF($C$31&gt;=$C$28,1,IF($B$28&gt;=$D$31,0,($B$28-$D$31)/(($C$31-$D$31)-($C$28-$B$28))))</f>
        <v>1</v>
      </c>
      <c r="E42" s="32">
        <f>IF($C$31&gt;=$C$29,1,IF($B$29&gt;=$D$31,0,($B$29-$D$31)/(($C$31-$D$31)-($C$29-$B$29))))</f>
        <v>1</v>
      </c>
      <c r="F42" s="32">
        <f>IF($C$31&gt;=$C$30,1,IF($B$30&gt;=$D$31,0,($B$30-$D$31)/(($C$31-$D$31)-($C$30-$B$30))))</f>
        <v>1</v>
      </c>
      <c r="G42" s="3" t="s">
        <v>66</v>
      </c>
    </row>
    <row r="44" spans="1:19" x14ac:dyDescent="0.3">
      <c r="A44" s="30" t="s">
        <v>67</v>
      </c>
    </row>
    <row r="45" spans="1:19" x14ac:dyDescent="0.3">
      <c r="A45" s="31" t="s">
        <v>3</v>
      </c>
      <c r="B45" s="31" t="s">
        <v>68</v>
      </c>
    </row>
    <row r="46" spans="1:19" x14ac:dyDescent="0.3">
      <c r="A46" s="3" t="s">
        <v>6</v>
      </c>
      <c r="B46" s="32">
        <f>MIN(C37,D37,E37,F37,G37)</f>
        <v>0.65834024455138551</v>
      </c>
    </row>
    <row r="47" spans="1:19" x14ac:dyDescent="0.3">
      <c r="A47" s="3" t="s">
        <v>8</v>
      </c>
      <c r="B47" s="32">
        <f>MIN(B38,D38,E38,F38,G38)</f>
        <v>0.85356396801509493</v>
      </c>
    </row>
    <row r="48" spans="1:19" x14ac:dyDescent="0.3">
      <c r="A48" s="3" t="s">
        <v>10</v>
      </c>
      <c r="B48" s="32">
        <f>MIN(B39,C39,E39,F39,G39)</f>
        <v>0.85356396801509493</v>
      </c>
    </row>
    <row r="49" spans="1:2" x14ac:dyDescent="0.3">
      <c r="A49" s="3" t="s">
        <v>12</v>
      </c>
      <c r="B49" s="32">
        <f>MIN(B40,C40,D40,F40,G40)</f>
        <v>0.88985158705109024</v>
      </c>
    </row>
    <row r="50" spans="1:2" x14ac:dyDescent="0.3">
      <c r="A50" s="3" t="s">
        <v>14</v>
      </c>
      <c r="B50" s="32">
        <f>MIN(B41,C41,D41,E41,G41)</f>
        <v>0.93682034191772667</v>
      </c>
    </row>
    <row r="51" spans="1:2" x14ac:dyDescent="0.3">
      <c r="A51" s="3" t="s">
        <v>16</v>
      </c>
      <c r="B51" s="32">
        <f>MIN(B42,C42,D42,E42,F42)</f>
        <v>1</v>
      </c>
    </row>
    <row r="53" spans="1:2" x14ac:dyDescent="0.3">
      <c r="A53" s="30" t="s">
        <v>69</v>
      </c>
    </row>
    <row r="54" spans="1:2" x14ac:dyDescent="0.3">
      <c r="A54" s="29" t="s">
        <v>70</v>
      </c>
    </row>
    <row r="55" spans="1:2" ht="43.2" x14ac:dyDescent="0.3">
      <c r="A55" s="31" t="s">
        <v>3</v>
      </c>
      <c r="B55" s="31" t="s">
        <v>71</v>
      </c>
    </row>
    <row r="56" spans="1:2" x14ac:dyDescent="0.3">
      <c r="A56" s="3" t="s">
        <v>6</v>
      </c>
      <c r="B56" s="32">
        <f>B46/SUM(B46:B51)</f>
        <v>0.12679554685753536</v>
      </c>
    </row>
    <row r="57" spans="1:2" x14ac:dyDescent="0.3">
      <c r="A57" s="3" t="s">
        <v>8</v>
      </c>
      <c r="B57" s="32">
        <f>B47/SUM(B46:B51)</f>
        <v>0.16439540343779521</v>
      </c>
    </row>
    <row r="58" spans="1:2" x14ac:dyDescent="0.3">
      <c r="A58" s="3" t="s">
        <v>10</v>
      </c>
      <c r="B58" s="32">
        <f>B48/SUM(B46:B51)</f>
        <v>0.16439540343779521</v>
      </c>
    </row>
    <row r="59" spans="1:2" x14ac:dyDescent="0.3">
      <c r="A59" s="3" t="s">
        <v>12</v>
      </c>
      <c r="B59" s="32">
        <f>B49/SUM(B46:B51)</f>
        <v>0.17138435563676382</v>
      </c>
    </row>
    <row r="60" spans="1:2" x14ac:dyDescent="0.3">
      <c r="A60" s="3" t="s">
        <v>14</v>
      </c>
      <c r="B60" s="32">
        <f>B50/SUM(B46:B51)</f>
        <v>0.18043048187288799</v>
      </c>
    </row>
    <row r="61" spans="1:2" x14ac:dyDescent="0.3">
      <c r="A61" s="3" t="s">
        <v>16</v>
      </c>
      <c r="B61" s="32">
        <f>B51/SUM(B46:B51)</f>
        <v>0.19259880875722246</v>
      </c>
    </row>
    <row r="62" spans="1:2" x14ac:dyDescent="0.3">
      <c r="A62" s="4" t="s">
        <v>39</v>
      </c>
      <c r="B62" s="27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selection sqref="A1:H1"/>
    </sheetView>
  </sheetViews>
  <sheetFormatPr defaultRowHeight="14.4" x14ac:dyDescent="0.3"/>
  <cols>
    <col min="1" max="7" width="14" customWidth="1"/>
  </cols>
  <sheetData>
    <row r="1" spans="1:8" ht="21" x14ac:dyDescent="0.4">
      <c r="A1" s="37" t="s">
        <v>72</v>
      </c>
      <c r="B1" s="38"/>
      <c r="C1" s="38"/>
      <c r="D1" s="38"/>
      <c r="E1" s="38"/>
      <c r="F1" s="38"/>
      <c r="G1" s="38"/>
      <c r="H1" s="38"/>
    </row>
    <row r="2" spans="1:8" x14ac:dyDescent="0.3">
      <c r="A2" s="60" t="s">
        <v>73</v>
      </c>
      <c r="B2" s="38"/>
      <c r="C2" s="38"/>
      <c r="D2" s="38"/>
      <c r="E2" s="38"/>
      <c r="F2" s="38"/>
      <c r="G2" s="38"/>
      <c r="H2" s="38"/>
    </row>
    <row r="4" spans="1:8" x14ac:dyDescent="0.3">
      <c r="A4" s="33" t="s">
        <v>74</v>
      </c>
    </row>
    <row r="5" spans="1:8" x14ac:dyDescent="0.3">
      <c r="A5" s="6" t="s">
        <v>5</v>
      </c>
      <c r="B5" s="6" t="s">
        <v>7</v>
      </c>
      <c r="C5" s="8" t="s">
        <v>9</v>
      </c>
      <c r="D5" s="8" t="s">
        <v>11</v>
      </c>
      <c r="E5" s="10" t="s">
        <v>13</v>
      </c>
      <c r="F5" s="10" t="s">
        <v>15</v>
      </c>
    </row>
    <row r="6" spans="1:8" x14ac:dyDescent="0.3">
      <c r="A6" s="32">
        <f>'Langkah 4-6'!B56</f>
        <v>0.12679554685753536</v>
      </c>
      <c r="B6" s="32">
        <f>'Langkah 4-6'!B57</f>
        <v>0.16439540343779521</v>
      </c>
      <c r="C6" s="32">
        <f>'Langkah 4-6'!B58</f>
        <v>0.16439540343779521</v>
      </c>
      <c r="D6" s="32">
        <f>'Langkah 4-6'!B59</f>
        <v>0.17138435563676382</v>
      </c>
      <c r="E6" s="32">
        <f>'Langkah 4-6'!B60</f>
        <v>0.18043048187288799</v>
      </c>
      <c r="F6" s="32">
        <f>'Langkah 4-6'!B61</f>
        <v>0.19259880875722246</v>
      </c>
    </row>
    <row r="8" spans="1:8" ht="15.6" x14ac:dyDescent="0.3">
      <c r="A8" s="1" t="s">
        <v>75</v>
      </c>
    </row>
    <row r="9" spans="1:8" x14ac:dyDescent="0.3">
      <c r="A9" s="2" t="s">
        <v>18</v>
      </c>
      <c r="B9" s="2" t="s">
        <v>19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8" ht="15.6" x14ac:dyDescent="0.3">
      <c r="A10" s="4">
        <v>1</v>
      </c>
      <c r="B10" s="3" t="str">
        <f>Input!B14</f>
        <v>David Kulian</v>
      </c>
      <c r="C10" s="34">
        <f>MAX(0,'Rekap Nilai'!C4-5)*$A$6+MAX(0,'Rekap Nilai'!D4-5)*$B$6+MAX(0,'Rekap Nilai'!E4-5)*$C$6+MAX(0,'Rekap Nilai'!F4-5)*$D$6+MAX(0,'Rekap Nilai'!G4-5)*$E$6+MAX(0,'Rekap Nilai'!H4-5)*$F$6</f>
        <v>15.793102318092242</v>
      </c>
      <c r="D10" s="34">
        <f>'Rekap Nilai'!C4*$A$6+'Rekap Nilai'!D4*$B$6+'Rekap Nilai'!E4*$C$6+'Rekap Nilai'!F4*$D$6+'Rekap Nilai'!G4*$E$6+'Rekap Nilai'!H4*$F$6</f>
        <v>20.157085482486227</v>
      </c>
      <c r="E10" s="34">
        <f>MIN(100,'Rekap Nilai'!C4+5)*$A$6+MIN(100,'Rekap Nilai'!D4+5)*$B$6+MIN(100,'Rekap Nilai'!E4+5)*$C$6+MIN(100,'Rekap Nilai'!F4+5)*$D$6+MIN(100,'Rekap Nilai'!G4+5)*$E$6+MIN(100,'Rekap Nilai'!H4+5)*$F$6</f>
        <v>25.157085482486231</v>
      </c>
      <c r="F10" s="35">
        <f t="shared" ref="F10:F19" si="0">(C10+D10+E10)/3</f>
        <v>20.3690910943549</v>
      </c>
      <c r="G10" s="36">
        <f t="shared" ref="G10:G19" si="1">IF(B10="","",RANK(F10,$F$10:$F$19,0))</f>
        <v>10</v>
      </c>
    </row>
    <row r="11" spans="1:8" ht="15.6" x14ac:dyDescent="0.3">
      <c r="A11" s="4">
        <v>2</v>
      </c>
      <c r="B11" s="3" t="str">
        <f>Input!B15</f>
        <v>Siti Aminah</v>
      </c>
      <c r="C11" s="34">
        <f>MAX(0,'Rekap Nilai'!C5-5)*$A$6+MAX(0,'Rekap Nilai'!D5-5)*$B$6+MAX(0,'Rekap Nilai'!E5-5)*$C$6+MAX(0,'Rekap Nilai'!F5-5)*$D$6+MAX(0,'Rekap Nilai'!G5-5)*$E$6+MAX(0,'Rekap Nilai'!H5-5)*$F$6</f>
        <v>76.389867747615781</v>
      </c>
      <c r="D11" s="34">
        <f>'Rekap Nilai'!C5*$A$6+'Rekap Nilai'!D5*$B$6+'Rekap Nilai'!E5*$C$6+'Rekap Nilai'!F5*$D$6+'Rekap Nilai'!G5*$E$6+'Rekap Nilai'!H5*$F$6</f>
        <v>81.389867747615781</v>
      </c>
      <c r="E11" s="34">
        <f>MIN(100,'Rekap Nilai'!C5+5)*$A$6+MIN(100,'Rekap Nilai'!D5+5)*$B$6+MIN(100,'Rekap Nilai'!E5+5)*$C$6+MIN(100,'Rekap Nilai'!F5+5)*$D$6+MIN(100,'Rekap Nilai'!G5+5)*$E$6+MIN(100,'Rekap Nilai'!H5+5)*$F$6</f>
        <v>86.389867747615781</v>
      </c>
      <c r="F11" s="35">
        <f t="shared" si="0"/>
        <v>81.389867747615781</v>
      </c>
      <c r="G11" s="36">
        <f t="shared" si="1"/>
        <v>9</v>
      </c>
    </row>
    <row r="12" spans="1:8" ht="15.6" x14ac:dyDescent="0.3">
      <c r="A12" s="4">
        <v>3</v>
      </c>
      <c r="B12" s="3" t="str">
        <f>Input!B16</f>
        <v>Budi Santoso</v>
      </c>
      <c r="C12" s="34">
        <f>MAX(0,'Rekap Nilai'!C6-5)*$A$6+MAX(0,'Rekap Nilai'!D6-5)*$B$6+MAX(0,'Rekap Nilai'!E6-5)*$C$6+MAX(0,'Rekap Nilai'!F6-5)*$D$6+MAX(0,'Rekap Nilai'!G6-5)*$E$6+MAX(0,'Rekap Nilai'!H6-5)*$F$6</f>
        <v>83.707017544909888</v>
      </c>
      <c r="D12" s="34">
        <f>'Rekap Nilai'!C6*$A$6+'Rekap Nilai'!D6*$B$6+'Rekap Nilai'!E6*$C$6+'Rekap Nilai'!F6*$D$6+'Rekap Nilai'!G6*$E$6+'Rekap Nilai'!H6*$F$6</f>
        <v>88.707017544909903</v>
      </c>
      <c r="E12" s="34">
        <f>MIN(100,'Rekap Nilai'!C6+5)*$A$6+MIN(100,'Rekap Nilai'!D6+5)*$B$6+MIN(100,'Rekap Nilai'!E6+5)*$C$6+MIN(100,'Rekap Nilai'!F6+5)*$D$6+MIN(100,'Rekap Nilai'!G6+5)*$E$6+MIN(100,'Rekap Nilai'!H6+5)*$F$6</f>
        <v>93.707017544909888</v>
      </c>
      <c r="F12" s="35">
        <f t="shared" si="0"/>
        <v>88.707017544909888</v>
      </c>
      <c r="G12" s="36">
        <f t="shared" si="1"/>
        <v>1</v>
      </c>
    </row>
    <row r="13" spans="1:8" ht="15.6" x14ac:dyDescent="0.3">
      <c r="A13" s="4">
        <v>4</v>
      </c>
      <c r="B13" s="3" t="str">
        <f>Input!B17</f>
        <v>Dewi Lestari</v>
      </c>
      <c r="C13" s="34">
        <f>MAX(0,'Rekap Nilai'!C7-5)*$A$6+MAX(0,'Rekap Nilai'!D7-5)*$B$6+MAX(0,'Rekap Nilai'!E7-5)*$C$6+MAX(0,'Rekap Nilai'!F7-5)*$D$6+MAX(0,'Rekap Nilai'!G7-5)*$E$6+MAX(0,'Rekap Nilai'!H7-5)*$F$6</f>
        <v>78.718658554491356</v>
      </c>
      <c r="D13" s="34">
        <f>'Rekap Nilai'!C7*$A$6+'Rekap Nilai'!D7*$B$6+'Rekap Nilai'!E7*$C$6+'Rekap Nilai'!F7*$D$6+'Rekap Nilai'!G7*$E$6+'Rekap Nilai'!H7*$F$6</f>
        <v>83.718658554491384</v>
      </c>
      <c r="E13" s="34">
        <f>MIN(100,'Rekap Nilai'!C7+5)*$A$6+MIN(100,'Rekap Nilai'!D7+5)*$B$6+MIN(100,'Rekap Nilai'!E7+5)*$C$6+MIN(100,'Rekap Nilai'!F7+5)*$D$6+MIN(100,'Rekap Nilai'!G7+5)*$E$6+MIN(100,'Rekap Nilai'!H7+5)*$F$6</f>
        <v>88.71865855449137</v>
      </c>
      <c r="F13" s="35">
        <f t="shared" si="0"/>
        <v>83.71865855449137</v>
      </c>
      <c r="G13" s="36">
        <f t="shared" si="1"/>
        <v>4</v>
      </c>
    </row>
    <row r="14" spans="1:8" ht="15.6" x14ac:dyDescent="0.3">
      <c r="A14" s="4">
        <v>5</v>
      </c>
      <c r="B14" s="3" t="str">
        <f>Input!B18</f>
        <v>Ahmad Fauzi</v>
      </c>
      <c r="C14" s="34">
        <f>MAX(0,'Rekap Nilai'!C8-5)*$A$6+MAX(0,'Rekap Nilai'!D8-5)*$B$6+MAX(0,'Rekap Nilai'!E8-5)*$C$6+MAX(0,'Rekap Nilai'!F8-5)*$D$6+MAX(0,'Rekap Nilai'!G8-5)*$E$6+MAX(0,'Rekap Nilai'!H8-5)*$F$6</f>
        <v>82.154181522089473</v>
      </c>
      <c r="D14" s="34">
        <f>'Rekap Nilai'!C8*$A$6+'Rekap Nilai'!D8*$B$6+'Rekap Nilai'!E8*$C$6+'Rekap Nilai'!F8*$D$6+'Rekap Nilai'!G8*$E$6+'Rekap Nilai'!H8*$F$6</f>
        <v>87.154181522089459</v>
      </c>
      <c r="E14" s="34">
        <f>MIN(100,'Rekap Nilai'!C8+5)*$A$6+MIN(100,'Rekap Nilai'!D8+5)*$B$6+MIN(100,'Rekap Nilai'!E8+5)*$C$6+MIN(100,'Rekap Nilai'!F8+5)*$D$6+MIN(100,'Rekap Nilai'!G8+5)*$E$6+MIN(100,'Rekap Nilai'!H8+5)*$F$6</f>
        <v>92.154181522089459</v>
      </c>
      <c r="F14" s="35">
        <f t="shared" si="0"/>
        <v>87.154181522089459</v>
      </c>
      <c r="G14" s="36">
        <f t="shared" si="1"/>
        <v>3</v>
      </c>
    </row>
    <row r="15" spans="1:8" ht="15.6" x14ac:dyDescent="0.3">
      <c r="A15" s="4">
        <v>6</v>
      </c>
      <c r="B15" s="3" t="str">
        <f>Input!B19</f>
        <v>Rina Wati</v>
      </c>
      <c r="C15" s="34">
        <f>MAX(0,'Rekap Nilai'!C9-5)*$A$6+MAX(0,'Rekap Nilai'!D9-5)*$B$6+MAX(0,'Rekap Nilai'!E9-5)*$C$6+MAX(0,'Rekap Nilai'!F9-5)*$D$6+MAX(0,'Rekap Nilai'!G9-5)*$E$6+MAX(0,'Rekap Nilai'!H9-5)*$F$6</f>
        <v>76.510294070775032</v>
      </c>
      <c r="D15" s="34">
        <f>'Rekap Nilai'!C9*$A$6+'Rekap Nilai'!D9*$B$6+'Rekap Nilai'!E9*$C$6+'Rekap Nilai'!F9*$D$6+'Rekap Nilai'!G9*$E$6+'Rekap Nilai'!H9*$F$6</f>
        <v>81.510294070775018</v>
      </c>
      <c r="E15" s="34">
        <f>MIN(100,'Rekap Nilai'!C9+5)*$A$6+MIN(100,'Rekap Nilai'!D9+5)*$B$6+MIN(100,'Rekap Nilai'!E9+5)*$C$6+MIN(100,'Rekap Nilai'!F9+5)*$D$6+MIN(100,'Rekap Nilai'!G9+5)*$E$6+MIN(100,'Rekap Nilai'!H9+5)*$F$6</f>
        <v>86.510294070775032</v>
      </c>
      <c r="F15" s="35">
        <f t="shared" si="0"/>
        <v>81.510294070775032</v>
      </c>
      <c r="G15" s="36">
        <f t="shared" si="1"/>
        <v>8</v>
      </c>
    </row>
    <row r="16" spans="1:8" ht="15.6" x14ac:dyDescent="0.3">
      <c r="A16" s="4">
        <v>7</v>
      </c>
      <c r="B16" s="3" t="str">
        <f>Input!B20</f>
        <v>Joko Susilo</v>
      </c>
      <c r="C16" s="34">
        <f>MAX(0,'Rekap Nilai'!C10-5)*$A$6+MAX(0,'Rekap Nilai'!D10-5)*$B$6+MAX(0,'Rekap Nilai'!E10-5)*$C$6+MAX(0,'Rekap Nilai'!F10-5)*$D$6+MAX(0,'Rekap Nilai'!G10-5)*$E$6+MAX(0,'Rekap Nilai'!H10-5)*$F$6</f>
        <v>77.545726269401499</v>
      </c>
      <c r="D16" s="34">
        <f>'Rekap Nilai'!C10*$A$6+'Rekap Nilai'!D10*$B$6+'Rekap Nilai'!E10*$C$6+'Rekap Nilai'!F10*$D$6+'Rekap Nilai'!G10*$E$6+'Rekap Nilai'!H10*$F$6</f>
        <v>82.545726269401499</v>
      </c>
      <c r="E16" s="34">
        <f>MIN(100,'Rekap Nilai'!C10+5)*$A$6+MIN(100,'Rekap Nilai'!D10+5)*$B$6+MIN(100,'Rekap Nilai'!E10+5)*$C$6+MIN(100,'Rekap Nilai'!F10+5)*$D$6+MIN(100,'Rekap Nilai'!G10+5)*$E$6+MIN(100,'Rekap Nilai'!H10+5)*$F$6</f>
        <v>87.545726269401484</v>
      </c>
      <c r="F16" s="35">
        <f t="shared" si="0"/>
        <v>82.545726269401499</v>
      </c>
      <c r="G16" s="36">
        <f t="shared" si="1"/>
        <v>7</v>
      </c>
    </row>
    <row r="17" spans="1:7" ht="15.6" x14ac:dyDescent="0.3">
      <c r="A17" s="4">
        <v>8</v>
      </c>
      <c r="B17" s="3" t="str">
        <f>Input!B21</f>
        <v>Maya Sari</v>
      </c>
      <c r="C17" s="34">
        <f>MAX(0,'Rekap Nilai'!C11-5)*$A$6+MAX(0,'Rekap Nilai'!D11-5)*$B$6+MAX(0,'Rekap Nilai'!E11-5)*$C$6+MAX(0,'Rekap Nilai'!F11-5)*$D$6+MAX(0,'Rekap Nilai'!G11-5)*$E$6+MAX(0,'Rekap Nilai'!H11-5)*$F$6</f>
        <v>83.037613908117194</v>
      </c>
      <c r="D17" s="34">
        <f>'Rekap Nilai'!C11*$A$6+'Rekap Nilai'!D11*$B$6+'Rekap Nilai'!E11*$C$6+'Rekap Nilai'!F11*$D$6+'Rekap Nilai'!G11*$E$6+'Rekap Nilai'!H11*$F$6</f>
        <v>88.03761390811718</v>
      </c>
      <c r="E17" s="34">
        <f>MIN(100,'Rekap Nilai'!C11+5)*$A$6+MIN(100,'Rekap Nilai'!D11+5)*$B$6+MIN(100,'Rekap Nilai'!E11+5)*$C$6+MIN(100,'Rekap Nilai'!F11+5)*$D$6+MIN(100,'Rekap Nilai'!G11+5)*$E$6+MIN(100,'Rekap Nilai'!H11+5)*$F$6</f>
        <v>93.03761390811718</v>
      </c>
      <c r="F17" s="35">
        <f t="shared" si="0"/>
        <v>88.03761390811718</v>
      </c>
      <c r="G17" s="36">
        <f t="shared" si="1"/>
        <v>2</v>
      </c>
    </row>
    <row r="18" spans="1:7" ht="15.6" x14ac:dyDescent="0.3">
      <c r="A18" s="4">
        <v>9</v>
      </c>
      <c r="B18" s="3" t="str">
        <f>Input!B22</f>
        <v>Andi Pratama</v>
      </c>
      <c r="C18" s="34">
        <f>MAX(0,'Rekap Nilai'!C12-5)*$A$6+MAX(0,'Rekap Nilai'!D12-5)*$B$6+MAX(0,'Rekap Nilai'!E12-5)*$C$6+MAX(0,'Rekap Nilai'!F12-5)*$D$6+MAX(0,'Rekap Nilai'!G12-5)*$E$6+MAX(0,'Rekap Nilai'!H12-5)*$F$6</f>
        <v>78.05063353558711</v>
      </c>
      <c r="D18" s="34">
        <f>'Rekap Nilai'!C12*$A$6+'Rekap Nilai'!D12*$B$6+'Rekap Nilai'!E12*$C$6+'Rekap Nilai'!F12*$D$6+'Rekap Nilai'!G12*$E$6+'Rekap Nilai'!H12*$F$6</f>
        <v>83.050633535587124</v>
      </c>
      <c r="E18" s="34">
        <f>MIN(100,'Rekap Nilai'!C12+5)*$A$6+MIN(100,'Rekap Nilai'!D12+5)*$B$6+MIN(100,'Rekap Nilai'!E12+5)*$C$6+MIN(100,'Rekap Nilai'!F12+5)*$D$6+MIN(100,'Rekap Nilai'!G12+5)*$E$6+MIN(100,'Rekap Nilai'!H12+5)*$F$6</f>
        <v>88.050633535587124</v>
      </c>
      <c r="F18" s="35">
        <f t="shared" si="0"/>
        <v>83.05063353558711</v>
      </c>
      <c r="G18" s="36">
        <f t="shared" si="1"/>
        <v>6</v>
      </c>
    </row>
    <row r="19" spans="1:7" ht="15.6" x14ac:dyDescent="0.3">
      <c r="A19" s="4">
        <v>10</v>
      </c>
      <c r="B19" s="3" t="str">
        <f>Input!B23</f>
        <v>Lina Marlina</v>
      </c>
      <c r="C19" s="34">
        <f>MAX(0,'Rekap Nilai'!C13-5)*$A$6+MAX(0,'Rekap Nilai'!D13-5)*$B$6+MAX(0,'Rekap Nilai'!E13-5)*$C$6+MAX(0,'Rekap Nilai'!F13-5)*$D$6+MAX(0,'Rekap Nilai'!G13-5)*$E$6+MAX(0,'Rekap Nilai'!H13-5)*$F$6</f>
        <v>78.606084487373437</v>
      </c>
      <c r="D19" s="34">
        <f>'Rekap Nilai'!C13*$A$6+'Rekap Nilai'!D13*$B$6+'Rekap Nilai'!E13*$C$6+'Rekap Nilai'!F13*$D$6+'Rekap Nilai'!G13*$E$6+'Rekap Nilai'!H13*$F$6</f>
        <v>83.606084487373451</v>
      </c>
      <c r="E19" s="34">
        <f>MIN(100,'Rekap Nilai'!C13+5)*$A$6+MIN(100,'Rekap Nilai'!D13+5)*$B$6+MIN(100,'Rekap Nilai'!E13+5)*$C$6+MIN(100,'Rekap Nilai'!F13+5)*$D$6+MIN(100,'Rekap Nilai'!G13+5)*$E$6+MIN(100,'Rekap Nilai'!H13+5)*$F$6</f>
        <v>88.606084487373437</v>
      </c>
      <c r="F19" s="35">
        <f t="shared" si="0"/>
        <v>83.606084487373437</v>
      </c>
      <c r="G19" s="36">
        <f t="shared" si="1"/>
        <v>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2026-02-10T14:23:27Z</dcterms:created>
  <dcterms:modified xsi:type="dcterms:W3CDTF">2026-02-10T14:31:56Z</dcterms:modified>
</cp:coreProperties>
</file>