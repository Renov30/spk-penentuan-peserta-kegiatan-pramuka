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3. Crisp &amp; Konsistensi" sheetId="1" state="visible" r:id="rId1"/>
    <sheet name="4. Fuzzifikasi TFN" sheetId="2" state="visible" r:id="rId2"/>
    <sheet name="5. Synthetic Extent" sheetId="3" state="visible" r:id="rId3"/>
    <sheet name="6. Bobot Global" sheetId="4" state="visible" r:id="rId4"/>
    <sheet name="7. Nilai Peser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21">
    <font>
      <name val="Calibri"/>
      <family val="2"/>
      <color theme="1"/>
      <sz val="11"/>
      <scheme val="minor"/>
    </font>
    <font>
      <b val="1"/>
      <color rgb="001F4E79"/>
      <sz val="18"/>
    </font>
    <font>
      <i val="1"/>
      <color rgb="00FF0000"/>
    </font>
    <font>
      <b val="1"/>
      <color rgb="00FFFFFF"/>
      <sz val="12"/>
    </font>
    <font>
      <i val="1"/>
      <color rgb="00666666"/>
      <sz val="9"/>
    </font>
    <font>
      <b val="1"/>
      <sz val="9"/>
    </font>
    <font>
      <color rgb="00666666"/>
      <sz val="9"/>
    </font>
    <font>
      <b val="1"/>
      <color rgb="00FFFFFF"/>
      <sz val="11"/>
    </font>
    <font>
      <b val="1"/>
    </font>
    <font>
      <sz val="10"/>
    </font>
    <font>
      <b val="1"/>
      <color rgb="000000FF"/>
      <sz val="11"/>
    </font>
    <font>
      <b val="1"/>
      <color rgb="001F4E79"/>
      <sz val="11"/>
    </font>
    <font>
      <b val="1"/>
      <color rgb="00ED7D31"/>
      <sz val="14"/>
    </font>
    <font>
      <b val="1"/>
      <sz val="14"/>
    </font>
    <font>
      <b val="1"/>
      <sz val="12"/>
    </font>
    <font>
      <b val="1"/>
      <color rgb="007030A0"/>
      <sz val="16"/>
    </font>
    <font>
      <i val="1"/>
      <color rgb="00666666"/>
    </font>
    <font>
      <b val="1"/>
      <color rgb="007030A0"/>
    </font>
    <font>
      <b val="1"/>
      <color rgb="00ED7D31"/>
      <sz val="16"/>
    </font>
    <font>
      <b val="1"/>
      <color rgb="0000B0F0"/>
      <sz val="16"/>
    </font>
    <font>
      <b val="1"/>
      <color rgb="001F4E79"/>
      <sz val="16"/>
    </font>
  </fonts>
  <fills count="1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  <fill>
      <patternFill patternType="solid">
        <fgColor rgb="00E2EFDA"/>
        <bgColor rgb="00E2EFDA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7030A0"/>
        <bgColor rgb="007030A0"/>
      </patternFill>
    </fill>
    <fill>
      <patternFill patternType="solid">
        <fgColor rgb="00E4DFEC"/>
        <bgColor rgb="00E4DFEC"/>
      </patternFill>
    </fill>
    <fill>
      <patternFill patternType="solid">
        <fgColor rgb="00ED7D31"/>
        <bgColor rgb="00ED7D31"/>
      </patternFill>
    </fill>
    <fill>
      <patternFill patternType="solid">
        <fgColor rgb="0000B0F0"/>
        <bgColor rgb="0000B0F0"/>
      </patternFill>
    </fill>
    <fill>
      <patternFill patternType="solid">
        <fgColor rgb="00FFF2CC"/>
        <bgColor rgb="00FFF2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9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1" fillId="0" borderId="0" pivotButton="0" quotePrefix="0" xfId="0"/>
    <xf numFmtId="164" fontId="9" fillId="7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0" fillId="0" borderId="4" pivotButton="0" quotePrefix="0" xfId="0"/>
    <xf numFmtId="0" fontId="15" fillId="0" borderId="0" pivotButton="0" quotePrefix="0" xfId="0"/>
    <xf numFmtId="0" fontId="16" fillId="0" borderId="0" pivotButton="0" quotePrefix="0" xfId="0"/>
    <xf numFmtId="0" fontId="3" fillId="8" borderId="0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2" fontId="9" fillId="0" borderId="1" applyAlignment="1" pivotButton="0" quotePrefix="0" xfId="0">
      <alignment horizontal="center" vertical="center" wrapText="1"/>
    </xf>
    <xf numFmtId="2" fontId="9" fillId="5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3" fillId="10" borderId="0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2" fontId="9" fillId="7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3" fillId="11" borderId="0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165" fontId="9" fillId="0" borderId="1" applyAlignment="1" pivotButton="0" quotePrefix="0" xfId="0">
      <alignment horizontal="center" vertical="center" wrapText="1"/>
    </xf>
    <xf numFmtId="0" fontId="20" fillId="0" borderId="0" pivotButton="0" quotePrefix="0" xfId="0"/>
    <xf numFmtId="2" fontId="9" fillId="1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PERHITUNGAN FUZZY AHP - SESUAI LANGKAH SISTEM</t>
        </is>
      </c>
    </row>
    <row r="2">
      <c r="A2" s="2" t="inlineStr">
        <is>
          <t>Masukkan nilai perbandingan (1-9) di sel KUNING. Hasil akan dihitung otomatis.</t>
        </is>
      </c>
    </row>
    <row r="4">
      <c r="A4" s="3" t="inlineStr">
        <is>
          <t>LANGKAH 1: PENYUSUNAN MATRIKS PERBANDINGAN BERPASANGAN (CRISP)</t>
        </is>
      </c>
    </row>
    <row r="5">
      <c r="A5" s="4" t="inlineStr">
        <is>
          <t>Masukkan nilai 1-9 sesuai skala Saaty di segitiga atas (sel kuning)</t>
        </is>
      </c>
    </row>
    <row r="6">
      <c r="A6" s="5" t="inlineStr">
        <is>
          <t>Skala:</t>
        </is>
      </c>
      <c r="B6" s="6" t="inlineStr">
        <is>
          <t>1=Sama Penting, 3=Sedikit Lebih, 5=Lebih Penting, 7=Jelas Lebih, 9=Mutlak Lebih</t>
        </is>
      </c>
    </row>
    <row r="7">
      <c r="A7" s="7" t="inlineStr">
        <is>
          <t>Kriteria</t>
        </is>
      </c>
      <c r="B7" s="7" t="inlineStr">
        <is>
          <t>K1</t>
        </is>
      </c>
      <c r="C7" s="7" t="inlineStr">
        <is>
          <t>K2</t>
        </is>
      </c>
      <c r="D7" s="7" t="inlineStr">
        <is>
          <t>K3</t>
        </is>
      </c>
      <c r="E7" s="7" t="inlineStr">
        <is>
          <t>K4</t>
        </is>
      </c>
      <c r="F7" s="7" t="inlineStr">
        <is>
          <t>K5</t>
        </is>
      </c>
      <c r="G7" s="7" t="inlineStr">
        <is>
          <t>K6</t>
        </is>
      </c>
    </row>
    <row r="8">
      <c r="A8" s="8" t="inlineStr">
        <is>
          <t>K1</t>
        </is>
      </c>
      <c r="B8" s="9" t="n">
        <v>1</v>
      </c>
      <c r="C8" s="10" t="n">
        <v>1</v>
      </c>
      <c r="D8" s="10" t="n">
        <v>1</v>
      </c>
      <c r="E8" s="10" t="n">
        <v>1</v>
      </c>
      <c r="F8" s="10" t="n">
        <v>1</v>
      </c>
      <c r="G8" s="10" t="n">
        <v>1</v>
      </c>
    </row>
    <row r="9">
      <c r="A9" s="8" t="inlineStr">
        <is>
          <t>K2</t>
        </is>
      </c>
      <c r="B9" s="11">
        <f>1/C8</f>
        <v/>
      </c>
      <c r="C9" s="9" t="n">
        <v>1</v>
      </c>
      <c r="D9" s="10" t="n">
        <v>1</v>
      </c>
      <c r="E9" s="10" t="n">
        <v>1</v>
      </c>
      <c r="F9" s="10" t="n">
        <v>1</v>
      </c>
      <c r="G9" s="10" t="n">
        <v>1</v>
      </c>
    </row>
    <row r="10">
      <c r="A10" s="8" t="inlineStr">
        <is>
          <t>K3</t>
        </is>
      </c>
      <c r="B10" s="11">
        <f>1/D8</f>
        <v/>
      </c>
      <c r="C10" s="11">
        <f>1/D9</f>
        <v/>
      </c>
      <c r="D10" s="9" t="n">
        <v>1</v>
      </c>
      <c r="E10" s="10" t="n">
        <v>1</v>
      </c>
      <c r="F10" s="10" t="n">
        <v>1</v>
      </c>
      <c r="G10" s="10" t="n">
        <v>1</v>
      </c>
    </row>
    <row r="11">
      <c r="A11" s="8" t="inlineStr">
        <is>
          <t>K4</t>
        </is>
      </c>
      <c r="B11" s="11">
        <f>1/E8</f>
        <v/>
      </c>
      <c r="C11" s="11">
        <f>1/E9</f>
        <v/>
      </c>
      <c r="D11" s="11">
        <f>1/E10</f>
        <v/>
      </c>
      <c r="E11" s="9" t="n">
        <v>1</v>
      </c>
      <c r="F11" s="10" t="n">
        <v>1</v>
      </c>
      <c r="G11" s="10" t="n">
        <v>1</v>
      </c>
    </row>
    <row r="12">
      <c r="A12" s="8" t="inlineStr">
        <is>
          <t>K5</t>
        </is>
      </c>
      <c r="B12" s="11">
        <f>1/F8</f>
        <v/>
      </c>
      <c r="C12" s="11">
        <f>1/F9</f>
        <v/>
      </c>
      <c r="D12" s="11">
        <f>1/F10</f>
        <v/>
      </c>
      <c r="E12" s="11">
        <f>1/F11</f>
        <v/>
      </c>
      <c r="F12" s="9" t="n">
        <v>1</v>
      </c>
      <c r="G12" s="10" t="n">
        <v>1</v>
      </c>
    </row>
    <row r="13">
      <c r="A13" s="8" t="inlineStr">
        <is>
          <t>K6</t>
        </is>
      </c>
      <c r="B13" s="11">
        <f>1/G8</f>
        <v/>
      </c>
      <c r="C13" s="11">
        <f>1/G9</f>
        <v/>
      </c>
      <c r="D13" s="11">
        <f>1/G10</f>
        <v/>
      </c>
      <c r="E13" s="11">
        <f>1/G11</f>
        <v/>
      </c>
      <c r="F13" s="11">
        <f>1/G12</f>
        <v/>
      </c>
      <c r="G13" s="9" t="n">
        <v>1</v>
      </c>
    </row>
    <row r="15">
      <c r="A15" s="12" t="inlineStr">
        <is>
          <t>LANGKAH 2: PERHITUNGAN VECTOR EIGEN (GEOMETRIC MEAN METHOD)</t>
        </is>
      </c>
    </row>
    <row r="16">
      <c r="A16" s="4" t="inlineStr">
        <is>
          <t>Rumus: GMi = (∏ aij)^(1/n), Wi = GMi / Σ GMi</t>
        </is>
      </c>
    </row>
    <row r="17">
      <c r="A17" s="13" t="inlineStr">
        <is>
          <t>Kriteria</t>
        </is>
      </c>
      <c r="B17" s="13" t="inlineStr">
        <is>
          <t>Geometric Mean (GM)</t>
        </is>
      </c>
      <c r="C17" s="13" t="inlineStr">
        <is>
          <t>Eigenvector (Wi)</t>
        </is>
      </c>
    </row>
    <row r="18">
      <c r="A18" s="14" t="inlineStr">
        <is>
          <t>K1</t>
        </is>
      </c>
      <c r="B18" s="15">
        <f>(B8*C8*D8*E8*F8*G8)^(1/6)</f>
        <v/>
      </c>
      <c r="C18" s="15">
        <f>B18/$B$24</f>
        <v/>
      </c>
    </row>
    <row r="19">
      <c r="A19" s="14" t="inlineStr">
        <is>
          <t>K2</t>
        </is>
      </c>
      <c r="B19" s="15">
        <f>(B9*C9*D9*E9*F9*G9)^(1/6)</f>
        <v/>
      </c>
      <c r="C19" s="15">
        <f>B19/$B$24</f>
        <v/>
      </c>
    </row>
    <row r="20">
      <c r="A20" s="14" t="inlineStr">
        <is>
          <t>K3</t>
        </is>
      </c>
      <c r="B20" s="15">
        <f>(B10*C10*D10*E10*F10*G10)^(1/6)</f>
        <v/>
      </c>
      <c r="C20" s="15">
        <f>B20/$B$24</f>
        <v/>
      </c>
    </row>
    <row r="21">
      <c r="A21" s="14" t="inlineStr">
        <is>
          <t>K4</t>
        </is>
      </c>
      <c r="B21" s="15">
        <f>(B11*C11*D11*E11*F11*G11)^(1/6)</f>
        <v/>
      </c>
      <c r="C21" s="15">
        <f>B21/$B$24</f>
        <v/>
      </c>
    </row>
    <row r="22">
      <c r="A22" s="14" t="inlineStr">
        <is>
          <t>K5</t>
        </is>
      </c>
      <c r="B22" s="15">
        <f>(B12*C12*D12*E12*F12*G12)^(1/6)</f>
        <v/>
      </c>
      <c r="C22" s="15">
        <f>B22/$B$24</f>
        <v/>
      </c>
    </row>
    <row r="23">
      <c r="A23" s="14" t="inlineStr">
        <is>
          <t>K6</t>
        </is>
      </c>
      <c r="B23" s="15">
        <f>(B13*C13*D13*E13*F13*G13)^(1/6)</f>
        <v/>
      </c>
      <c r="C23" s="15">
        <f>B23/$B$24</f>
        <v/>
      </c>
    </row>
    <row r="24">
      <c r="A24" s="9" t="inlineStr">
        <is>
          <t>Total</t>
        </is>
      </c>
      <c r="B24" s="16">
        <f>SUM(B18:B23)</f>
        <v/>
      </c>
      <c r="C24" s="16">
        <f>SUM(C18:C23)</f>
        <v/>
      </c>
    </row>
    <row r="26">
      <c r="A26" s="17" t="inlineStr">
        <is>
          <t>Lambda Max (λmax):</t>
        </is>
      </c>
      <c r="B26" s="18">
        <f>AVERAGE(G27:G32)</f>
        <v/>
      </c>
      <c r="E26" s="13" t="inlineStr">
        <is>
          <t>Kriteria</t>
        </is>
      </c>
      <c r="F26" s="13" t="inlineStr">
        <is>
          <t>A*w</t>
        </is>
      </c>
      <c r="G26" s="13" t="inlineStr">
        <is>
          <t>(A*w)/w</t>
        </is>
      </c>
    </row>
    <row r="27">
      <c r="E27" s="9" t="inlineStr">
        <is>
          <t>K1</t>
        </is>
      </c>
      <c r="F27" s="15">
        <f>B8*$C$18+C8*$C$19+D8*$C$20+E8*$C$21+F8*$C$22+G8*$C$23</f>
        <v/>
      </c>
      <c r="G27" s="15">
        <f>F27/$C$18</f>
        <v/>
      </c>
    </row>
    <row r="28">
      <c r="E28" s="9" t="inlineStr">
        <is>
          <t>K2</t>
        </is>
      </c>
      <c r="F28" s="15">
        <f>B9*$C$18+C9*$C$19+D9*$C$20+E9*$C$21+F9*$C$22+G9*$C$23</f>
        <v/>
      </c>
      <c r="G28" s="15">
        <f>F28/$C$19</f>
        <v/>
      </c>
    </row>
    <row r="29">
      <c r="E29" s="9" t="inlineStr">
        <is>
          <t>K3</t>
        </is>
      </c>
      <c r="F29" s="15">
        <f>B10*$C$18+C10*$C$19+D10*$C$20+E10*$C$21+F10*$C$22+G10*$C$23</f>
        <v/>
      </c>
      <c r="G29" s="15">
        <f>F29/$C$20</f>
        <v/>
      </c>
    </row>
    <row r="30">
      <c r="E30" s="9" t="inlineStr">
        <is>
          <t>K4</t>
        </is>
      </c>
      <c r="F30" s="15">
        <f>B11*$C$18+C11*$C$19+D11*$C$20+E11*$C$21+F11*$C$22+G11*$C$23</f>
        <v/>
      </c>
      <c r="G30" s="15">
        <f>F30/$C$21</f>
        <v/>
      </c>
    </row>
    <row r="31">
      <c r="E31" s="9" t="inlineStr">
        <is>
          <t>K5</t>
        </is>
      </c>
      <c r="F31" s="15">
        <f>B12*$C$18+C12*$C$19+D12*$C$20+E12*$C$21+F12*$C$22+G12*$C$23</f>
        <v/>
      </c>
      <c r="G31" s="15">
        <f>F31/$C$22</f>
        <v/>
      </c>
    </row>
    <row r="32">
      <c r="E32" s="9" t="inlineStr">
        <is>
          <t>K6</t>
        </is>
      </c>
      <c r="F32" s="15">
        <f>B13*$C$18+C13*$C$19+D13*$C$20+E13*$C$21+F13*$C$22+G13*$C$23</f>
        <v/>
      </c>
      <c r="G32" s="15">
        <f>F32/$C$23</f>
        <v/>
      </c>
    </row>
    <row r="34">
      <c r="A34" s="19" t="inlineStr">
        <is>
          <t>LANGKAH 3: UJI KONSISTENSI MATRIKS PERBANDINGAN</t>
        </is>
      </c>
    </row>
    <row r="35">
      <c r="A35" s="4" t="inlineStr">
        <is>
          <t>Matriks konsisten jika CR ≤ 0.1</t>
        </is>
      </c>
    </row>
    <row r="36">
      <c r="A36" s="17" t="inlineStr">
        <is>
          <t>Consistency Index (CI):</t>
        </is>
      </c>
      <c r="B36" s="15">
        <f>(B26-6)/5</f>
        <v/>
      </c>
      <c r="C36" s="4">
        <f> (λmax - n) / (n - 1)</f>
        <v/>
      </c>
    </row>
    <row r="37">
      <c r="A37" s="17" t="inlineStr">
        <is>
          <t>Random Index (RI):</t>
        </is>
      </c>
      <c r="B37" s="9" t="n">
        <v>1.24</v>
      </c>
      <c r="C37" s="4" t="inlineStr">
        <is>
          <t>Untuk n=6, RI = 1.24</t>
        </is>
      </c>
    </row>
    <row r="38">
      <c r="A38" s="17" t="inlineStr">
        <is>
          <t>Consistency Ratio (CR):</t>
        </is>
      </c>
      <c r="B38" s="18">
        <f>B36/B37</f>
        <v/>
      </c>
      <c r="C38" s="4">
        <f> CI / RI</f>
        <v/>
      </c>
    </row>
    <row r="39">
      <c r="A39" s="17" t="inlineStr">
        <is>
          <t>Status:</t>
        </is>
      </c>
      <c r="B39" s="9">
        <f>IF(B38&lt;=0.1,"KONSISTEN","TIDAK KONSISTEN")</f>
        <v/>
      </c>
      <c r="C39" s="20" t="n"/>
    </row>
  </sheetData>
  <mergeCells count="10">
    <mergeCell ref="B39:C39"/>
    <mergeCell ref="A1:J1"/>
    <mergeCell ref="A5:J5"/>
    <mergeCell ref="B6:I6"/>
    <mergeCell ref="A16:J16"/>
    <mergeCell ref="A34:J34"/>
    <mergeCell ref="A15:J15"/>
    <mergeCell ref="A4:J4"/>
    <mergeCell ref="A35:J35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</cols>
  <sheetData>
    <row r="1">
      <c r="A1" s="21" t="inlineStr">
        <is>
          <t>LANGKAH 4: FUZZIFIKASI MATRIKS PERBANDINGAN BERPASANGAN</t>
        </is>
      </c>
    </row>
    <row r="2">
      <c r="A2" s="22" t="inlineStr">
        <is>
          <t>Konversi nilai crisp ke Triangular Fuzzy Number (TFN) = (l, m, u)</t>
        </is>
      </c>
    </row>
    <row r="4">
      <c r="A4" s="23" t="inlineStr">
        <is>
          <t>TABEL SKALA NILAI FUZZY (TFN)</t>
        </is>
      </c>
    </row>
    <row r="5">
      <c r="A5" s="24" t="inlineStr">
        <is>
          <t>Intensitas</t>
        </is>
      </c>
      <c r="B5" s="24" t="inlineStr">
        <is>
          <t>TFN (l, m, u)</t>
        </is>
      </c>
      <c r="C5" s="24" t="inlineStr">
        <is>
          <t>Kebalikan</t>
        </is>
      </c>
    </row>
    <row r="6">
      <c r="A6" s="9" t="n">
        <v>1</v>
      </c>
      <c r="B6" s="9" t="inlineStr">
        <is>
          <t>(1, 1, 1)</t>
        </is>
      </c>
      <c r="C6" s="9" t="inlineStr">
        <is>
          <t>(1, 1, 1)</t>
        </is>
      </c>
    </row>
    <row r="7">
      <c r="A7" s="9" t="n">
        <v>2</v>
      </c>
      <c r="B7" s="9" t="inlineStr">
        <is>
          <t>(0.5, 1, 1.5)</t>
        </is>
      </c>
      <c r="C7" s="9" t="inlineStr">
        <is>
          <t>(1/1.5, 1/1, 1/0.5)</t>
        </is>
      </c>
    </row>
    <row r="8">
      <c r="A8" s="9" t="n">
        <v>3</v>
      </c>
      <c r="B8" s="9" t="inlineStr">
        <is>
          <t>(1, 1.5, 2)</t>
        </is>
      </c>
      <c r="C8" s="9" t="inlineStr">
        <is>
          <t>(1/2, 1/1.5, 1/1)</t>
        </is>
      </c>
    </row>
    <row r="9">
      <c r="A9" s="9" t="n">
        <v>4</v>
      </c>
      <c r="B9" s="9" t="inlineStr">
        <is>
          <t>(1.5, 2, 2.5)</t>
        </is>
      </c>
      <c r="C9" s="9" t="inlineStr">
        <is>
          <t>(1/2.5, 1/2, 1/1.5)</t>
        </is>
      </c>
    </row>
    <row r="10">
      <c r="A10" s="9" t="n">
        <v>5</v>
      </c>
      <c r="B10" s="9" t="inlineStr">
        <is>
          <t>(2, 2.5, 3)</t>
        </is>
      </c>
      <c r="C10" s="9" t="inlineStr">
        <is>
          <t>(1/3, 1/2.5, 1/2)</t>
        </is>
      </c>
    </row>
    <row r="11">
      <c r="A11" s="9" t="n">
        <v>6</v>
      </c>
      <c r="B11" s="9" t="inlineStr">
        <is>
          <t>(2.5, 3, 3.5)</t>
        </is>
      </c>
      <c r="C11" s="9" t="inlineStr">
        <is>
          <t>(1/3.5, 1/3, 1/2.5)</t>
        </is>
      </c>
    </row>
    <row r="12">
      <c r="A12" s="9" t="n">
        <v>7</v>
      </c>
      <c r="B12" s="9" t="inlineStr">
        <is>
          <t>(3, 3.5, 4)</t>
        </is>
      </c>
      <c r="C12" s="9" t="inlineStr">
        <is>
          <t>(1/4, 1/3.5, 1/3)</t>
        </is>
      </c>
    </row>
    <row r="13">
      <c r="A13" s="9" t="n">
        <v>8</v>
      </c>
      <c r="B13" s="9" t="inlineStr">
        <is>
          <t>(3.5, 4, 4.5)</t>
        </is>
      </c>
      <c r="C13" s="9" t="inlineStr">
        <is>
          <t>(1/4.5, 1/4, 1/3.5)</t>
        </is>
      </c>
    </row>
    <row r="14">
      <c r="A14" s="9" t="n">
        <v>9</v>
      </c>
      <c r="B14" s="9" t="inlineStr">
        <is>
          <t>(4, 4.5, 4.5)</t>
        </is>
      </c>
      <c r="C14" s="9" t="inlineStr">
        <is>
          <t>(1/4.5, 1/4.5, 1/4)</t>
        </is>
      </c>
    </row>
    <row r="16">
      <c r="A16" s="23" t="inlineStr">
        <is>
          <t>MATRIKS FUZZY (TFN)</t>
        </is>
      </c>
    </row>
    <row r="17">
      <c r="A17" s="4" t="inlineStr">
        <is>
          <t>Nilai TFN dihitung berdasarkan matriks crisp di Sheet 1</t>
        </is>
      </c>
    </row>
    <row r="18">
      <c r="A18" s="24" t="inlineStr">
        <is>
          <t>Kriteria</t>
        </is>
      </c>
      <c r="B18" s="24" t="inlineStr">
        <is>
          <t>K1</t>
        </is>
      </c>
      <c r="E18" s="24" t="inlineStr">
        <is>
          <t>K2</t>
        </is>
      </c>
      <c r="H18" s="24" t="inlineStr">
        <is>
          <t>K3</t>
        </is>
      </c>
      <c r="K18" s="24" t="inlineStr">
        <is>
          <t>K4</t>
        </is>
      </c>
      <c r="N18" s="24" t="inlineStr">
        <is>
          <t>K5</t>
        </is>
      </c>
      <c r="Q18" s="24" t="inlineStr">
        <is>
          <t>K6</t>
        </is>
      </c>
    </row>
    <row r="19">
      <c r="A19" s="25" t="inlineStr"/>
      <c r="B19" s="26" t="inlineStr">
        <is>
          <t>l</t>
        </is>
      </c>
      <c r="C19" s="26" t="inlineStr">
        <is>
          <t>m</t>
        </is>
      </c>
      <c r="D19" s="26" t="inlineStr">
        <is>
          <t>u</t>
        </is>
      </c>
      <c r="E19" s="26" t="inlineStr">
        <is>
          <t>l</t>
        </is>
      </c>
      <c r="F19" s="26" t="inlineStr">
        <is>
          <t>m</t>
        </is>
      </c>
      <c r="G19" s="26" t="inlineStr">
        <is>
          <t>u</t>
        </is>
      </c>
      <c r="H19" s="26" t="inlineStr">
        <is>
          <t>l</t>
        </is>
      </c>
      <c r="I19" s="26" t="inlineStr">
        <is>
          <t>m</t>
        </is>
      </c>
      <c r="J19" s="26" t="inlineStr">
        <is>
          <t>u</t>
        </is>
      </c>
      <c r="K19" s="26" t="inlineStr">
        <is>
          <t>l</t>
        </is>
      </c>
      <c r="L19" s="26" t="inlineStr">
        <is>
          <t>m</t>
        </is>
      </c>
      <c r="M19" s="26" t="inlineStr">
        <is>
          <t>u</t>
        </is>
      </c>
      <c r="N19" s="26" t="inlineStr">
        <is>
          <t>l</t>
        </is>
      </c>
      <c r="O19" s="26" t="inlineStr">
        <is>
          <t>m</t>
        </is>
      </c>
      <c r="P19" s="26" t="inlineStr">
        <is>
          <t>u</t>
        </is>
      </c>
      <c r="Q19" s="26" t="inlineStr">
        <is>
          <t>l</t>
        </is>
      </c>
      <c r="R19" s="26" t="inlineStr">
        <is>
          <t>m</t>
        </is>
      </c>
      <c r="S19" s="26" t="inlineStr">
        <is>
          <t>u</t>
        </is>
      </c>
    </row>
    <row r="20">
      <c r="A20" s="8" t="inlineStr">
        <is>
          <t>K1</t>
        </is>
      </c>
      <c r="B20" s="27" t="n">
        <v>1</v>
      </c>
      <c r="C20" s="27" t="n">
        <v>1</v>
      </c>
      <c r="D20" s="27" t="n">
        <v>1</v>
      </c>
      <c r="E20" s="27">
        <f>MAX(0.5,('1-3. Crisp &amp; Konsistensi'!C8-1)*0.5)</f>
        <v/>
      </c>
      <c r="F20" s="27">
        <f>MAX(1,('1-3. Crisp &amp; Konsistensi'!C8-1)*0.5+0.5)</f>
        <v/>
      </c>
      <c r="G20" s="27">
        <f>'1-3. Crisp &amp; Konsistensi'!C8*0.5</f>
        <v/>
      </c>
      <c r="H20" s="27">
        <f>MAX(0.5,('1-3. Crisp &amp; Konsistensi'!D8-1)*0.5)</f>
        <v/>
      </c>
      <c r="I20" s="27">
        <f>MAX(1,('1-3. Crisp &amp; Konsistensi'!D8-1)*0.5+0.5)</f>
        <v/>
      </c>
      <c r="J20" s="27">
        <f>'1-3. Crisp &amp; Konsistensi'!D8*0.5</f>
        <v/>
      </c>
      <c r="K20" s="27">
        <f>MAX(0.5,('1-3. Crisp &amp; Konsistensi'!E8-1)*0.5)</f>
        <v/>
      </c>
      <c r="L20" s="27">
        <f>MAX(1,('1-3. Crisp &amp; Konsistensi'!E8-1)*0.5+0.5)</f>
        <v/>
      </c>
      <c r="M20" s="27">
        <f>'1-3. Crisp &amp; Konsistensi'!E8*0.5</f>
        <v/>
      </c>
      <c r="N20" s="27">
        <f>MAX(0.5,('1-3. Crisp &amp; Konsistensi'!F8-1)*0.5)</f>
        <v/>
      </c>
      <c r="O20" s="27">
        <f>MAX(1,('1-3. Crisp &amp; Konsistensi'!F8-1)*0.5+0.5)</f>
        <v/>
      </c>
      <c r="P20" s="27">
        <f>'1-3. Crisp &amp; Konsistensi'!F8*0.5</f>
        <v/>
      </c>
      <c r="Q20" s="27">
        <f>MAX(0.5,('1-3. Crisp &amp; Konsistensi'!G8-1)*0.5)</f>
        <v/>
      </c>
      <c r="R20" s="27">
        <f>MAX(1,('1-3. Crisp &amp; Konsistensi'!G8-1)*0.5+0.5)</f>
        <v/>
      </c>
      <c r="S20" s="27">
        <f>'1-3. Crisp &amp; Konsistensi'!G8*0.5</f>
        <v/>
      </c>
    </row>
    <row r="21">
      <c r="A21" s="8" t="inlineStr">
        <is>
          <t>K2</t>
        </is>
      </c>
      <c r="B21" s="28">
        <f>1/G20</f>
        <v/>
      </c>
      <c r="C21" s="28">
        <f>1/F20</f>
        <v/>
      </c>
      <c r="D21" s="28">
        <f>1/E20</f>
        <v/>
      </c>
      <c r="E21" s="27" t="n">
        <v>1</v>
      </c>
      <c r="F21" s="27" t="n">
        <v>1</v>
      </c>
      <c r="G21" s="27" t="n">
        <v>1</v>
      </c>
      <c r="H21" s="27">
        <f>MAX(0.5,('1-3. Crisp &amp; Konsistensi'!D9-1)*0.5)</f>
        <v/>
      </c>
      <c r="I21" s="27">
        <f>MAX(1,('1-3. Crisp &amp; Konsistensi'!D9-1)*0.5+0.5)</f>
        <v/>
      </c>
      <c r="J21" s="27">
        <f>'1-3. Crisp &amp; Konsistensi'!D9*0.5</f>
        <v/>
      </c>
      <c r="K21" s="27">
        <f>MAX(0.5,('1-3. Crisp &amp; Konsistensi'!E9-1)*0.5)</f>
        <v/>
      </c>
      <c r="L21" s="27">
        <f>MAX(1,('1-3. Crisp &amp; Konsistensi'!E9-1)*0.5+0.5)</f>
        <v/>
      </c>
      <c r="M21" s="27">
        <f>'1-3. Crisp &amp; Konsistensi'!E9*0.5</f>
        <v/>
      </c>
      <c r="N21" s="27">
        <f>MAX(0.5,('1-3. Crisp &amp; Konsistensi'!F9-1)*0.5)</f>
        <v/>
      </c>
      <c r="O21" s="27">
        <f>MAX(1,('1-3. Crisp &amp; Konsistensi'!F9-1)*0.5+0.5)</f>
        <v/>
      </c>
      <c r="P21" s="27">
        <f>'1-3. Crisp &amp; Konsistensi'!F9*0.5</f>
        <v/>
      </c>
      <c r="Q21" s="27">
        <f>MAX(0.5,('1-3. Crisp &amp; Konsistensi'!G9-1)*0.5)</f>
        <v/>
      </c>
      <c r="R21" s="27">
        <f>MAX(1,('1-3. Crisp &amp; Konsistensi'!G9-1)*0.5+0.5)</f>
        <v/>
      </c>
      <c r="S21" s="27">
        <f>'1-3. Crisp &amp; Konsistensi'!G9*0.5</f>
        <v/>
      </c>
    </row>
    <row r="22">
      <c r="A22" s="8" t="inlineStr">
        <is>
          <t>K3</t>
        </is>
      </c>
      <c r="B22" s="28">
        <f>1/J20</f>
        <v/>
      </c>
      <c r="C22" s="28">
        <f>1/I20</f>
        <v/>
      </c>
      <c r="D22" s="28">
        <f>1/H20</f>
        <v/>
      </c>
      <c r="E22" s="28">
        <f>1/J21</f>
        <v/>
      </c>
      <c r="F22" s="28">
        <f>1/I21</f>
        <v/>
      </c>
      <c r="G22" s="28">
        <f>1/H21</f>
        <v/>
      </c>
      <c r="H22" s="27" t="n">
        <v>1</v>
      </c>
      <c r="I22" s="27" t="n">
        <v>1</v>
      </c>
      <c r="J22" s="27" t="n">
        <v>1</v>
      </c>
      <c r="K22" s="27">
        <f>MAX(0.5,('1-3. Crisp &amp; Konsistensi'!E10-1)*0.5)</f>
        <v/>
      </c>
      <c r="L22" s="27">
        <f>MAX(1,('1-3. Crisp &amp; Konsistensi'!E10-1)*0.5+0.5)</f>
        <v/>
      </c>
      <c r="M22" s="27">
        <f>'1-3. Crisp &amp; Konsistensi'!E10*0.5</f>
        <v/>
      </c>
      <c r="N22" s="27">
        <f>MAX(0.5,('1-3. Crisp &amp; Konsistensi'!F10-1)*0.5)</f>
        <v/>
      </c>
      <c r="O22" s="27">
        <f>MAX(1,('1-3. Crisp &amp; Konsistensi'!F10-1)*0.5+0.5)</f>
        <v/>
      </c>
      <c r="P22" s="27">
        <f>'1-3. Crisp &amp; Konsistensi'!F10*0.5</f>
        <v/>
      </c>
      <c r="Q22" s="27">
        <f>MAX(0.5,('1-3. Crisp &amp; Konsistensi'!G10-1)*0.5)</f>
        <v/>
      </c>
      <c r="R22" s="27">
        <f>MAX(1,('1-3. Crisp &amp; Konsistensi'!G10-1)*0.5+0.5)</f>
        <v/>
      </c>
      <c r="S22" s="27">
        <f>'1-3. Crisp &amp; Konsistensi'!G10*0.5</f>
        <v/>
      </c>
    </row>
    <row r="23">
      <c r="A23" s="8" t="inlineStr">
        <is>
          <t>K4</t>
        </is>
      </c>
      <c r="B23" s="28">
        <f>1/M20</f>
        <v/>
      </c>
      <c r="C23" s="28">
        <f>1/L20</f>
        <v/>
      </c>
      <c r="D23" s="28">
        <f>1/K20</f>
        <v/>
      </c>
      <c r="E23" s="28">
        <f>1/M21</f>
        <v/>
      </c>
      <c r="F23" s="28">
        <f>1/L21</f>
        <v/>
      </c>
      <c r="G23" s="28">
        <f>1/K21</f>
        <v/>
      </c>
      <c r="H23" s="28">
        <f>1/M22</f>
        <v/>
      </c>
      <c r="I23" s="28">
        <f>1/L22</f>
        <v/>
      </c>
      <c r="J23" s="28">
        <f>1/K22</f>
        <v/>
      </c>
      <c r="K23" s="27" t="n">
        <v>1</v>
      </c>
      <c r="L23" s="27" t="n">
        <v>1</v>
      </c>
      <c r="M23" s="27" t="n">
        <v>1</v>
      </c>
      <c r="N23" s="27">
        <f>MAX(0.5,('1-3. Crisp &amp; Konsistensi'!F11-1)*0.5)</f>
        <v/>
      </c>
      <c r="O23" s="27">
        <f>MAX(1,('1-3. Crisp &amp; Konsistensi'!F11-1)*0.5+0.5)</f>
        <v/>
      </c>
      <c r="P23" s="27">
        <f>'1-3. Crisp &amp; Konsistensi'!F11*0.5</f>
        <v/>
      </c>
      <c r="Q23" s="27">
        <f>MAX(0.5,('1-3. Crisp &amp; Konsistensi'!G11-1)*0.5)</f>
        <v/>
      </c>
      <c r="R23" s="27">
        <f>MAX(1,('1-3. Crisp &amp; Konsistensi'!G11-1)*0.5+0.5)</f>
        <v/>
      </c>
      <c r="S23" s="27">
        <f>'1-3. Crisp &amp; Konsistensi'!G11*0.5</f>
        <v/>
      </c>
    </row>
    <row r="24">
      <c r="A24" s="8" t="inlineStr">
        <is>
          <t>K5</t>
        </is>
      </c>
      <c r="B24" s="28">
        <f>1/P20</f>
        <v/>
      </c>
      <c r="C24" s="28">
        <f>1/O20</f>
        <v/>
      </c>
      <c r="D24" s="28">
        <f>1/N20</f>
        <v/>
      </c>
      <c r="E24" s="28">
        <f>1/P21</f>
        <v/>
      </c>
      <c r="F24" s="28">
        <f>1/O21</f>
        <v/>
      </c>
      <c r="G24" s="28">
        <f>1/N21</f>
        <v/>
      </c>
      <c r="H24" s="28">
        <f>1/P22</f>
        <v/>
      </c>
      <c r="I24" s="28">
        <f>1/O22</f>
        <v/>
      </c>
      <c r="J24" s="28">
        <f>1/N22</f>
        <v/>
      </c>
      <c r="K24" s="28">
        <f>1/P23</f>
        <v/>
      </c>
      <c r="L24" s="28">
        <f>1/O23</f>
        <v/>
      </c>
      <c r="M24" s="28">
        <f>1/N23</f>
        <v/>
      </c>
      <c r="N24" s="27" t="n">
        <v>1</v>
      </c>
      <c r="O24" s="27" t="n">
        <v>1</v>
      </c>
      <c r="P24" s="27" t="n">
        <v>1</v>
      </c>
      <c r="Q24" s="27">
        <f>MAX(0.5,('1-3. Crisp &amp; Konsistensi'!G12-1)*0.5)</f>
        <v/>
      </c>
      <c r="R24" s="27">
        <f>MAX(1,('1-3. Crisp &amp; Konsistensi'!G12-1)*0.5+0.5)</f>
        <v/>
      </c>
      <c r="S24" s="27">
        <f>'1-3. Crisp &amp; Konsistensi'!G12*0.5</f>
        <v/>
      </c>
    </row>
    <row r="25">
      <c r="A25" s="8" t="inlineStr">
        <is>
          <t>K6</t>
        </is>
      </c>
      <c r="B25" s="28">
        <f>1/S20</f>
        <v/>
      </c>
      <c r="C25" s="28">
        <f>1/R20</f>
        <v/>
      </c>
      <c r="D25" s="28">
        <f>1/Q20</f>
        <v/>
      </c>
      <c r="E25" s="28">
        <f>1/S21</f>
        <v/>
      </c>
      <c r="F25" s="28">
        <f>1/R21</f>
        <v/>
      </c>
      <c r="G25" s="28">
        <f>1/Q21</f>
        <v/>
      </c>
      <c r="H25" s="28">
        <f>1/S22</f>
        <v/>
      </c>
      <c r="I25" s="28">
        <f>1/R22</f>
        <v/>
      </c>
      <c r="J25" s="28">
        <f>1/Q22</f>
        <v/>
      </c>
      <c r="K25" s="28">
        <f>1/S23</f>
        <v/>
      </c>
      <c r="L25" s="28">
        <f>1/R23</f>
        <v/>
      </c>
      <c r="M25" s="28">
        <f>1/Q23</f>
        <v/>
      </c>
      <c r="N25" s="28">
        <f>1/S24</f>
        <v/>
      </c>
      <c r="O25" s="28">
        <f>1/R24</f>
        <v/>
      </c>
      <c r="P25" s="28">
        <f>1/Q24</f>
        <v/>
      </c>
      <c r="Q25" s="27" t="n">
        <v>1</v>
      </c>
      <c r="R25" s="27" t="n">
        <v>1</v>
      </c>
      <c r="S25" s="27" t="n">
        <v>1</v>
      </c>
    </row>
  </sheetData>
  <mergeCells count="11">
    <mergeCell ref="A1:T1"/>
    <mergeCell ref="A4:H4"/>
    <mergeCell ref="H18:J18"/>
    <mergeCell ref="A17:T17"/>
    <mergeCell ref="N18:P18"/>
    <mergeCell ref="Q18:S18"/>
    <mergeCell ref="B18:D18"/>
    <mergeCell ref="E18:G18"/>
    <mergeCell ref="K18:M18"/>
    <mergeCell ref="A16:T16"/>
    <mergeCell ref="A2:T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29" t="inlineStr">
        <is>
          <t>LANGKAH 5: PERHITUNGAN FUZZY SYNTHETIC EXTENT</t>
        </is>
      </c>
    </row>
    <row r="2">
      <c r="A2" s="22" t="inlineStr">
        <is>
          <t>Rumus: Si = (Σ Mij) ⊗ (ΣΣ Mij)^(-1)</t>
        </is>
      </c>
    </row>
    <row r="4">
      <c r="A4" s="30" t="inlineStr">
        <is>
          <t>PENJUMLAHAN BARIS MATRIKS FUZZY</t>
        </is>
      </c>
    </row>
    <row r="5">
      <c r="A5" s="31" t="inlineStr">
        <is>
          <t>Kriteria</t>
        </is>
      </c>
      <c r="B5" s="31" t="inlineStr">
        <is>
          <t>Σl</t>
        </is>
      </c>
      <c r="C5" s="31" t="inlineStr">
        <is>
          <t>Σm</t>
        </is>
      </c>
      <c r="D5" s="31" t="inlineStr">
        <is>
          <t>Σu</t>
        </is>
      </c>
    </row>
    <row r="6">
      <c r="A6" s="14" t="inlineStr">
        <is>
          <t>K1</t>
        </is>
      </c>
      <c r="B6" s="28">
        <f>'4. Fuzzifikasi TFN'!B20+'4. Fuzzifikasi TFN'!E20+'4. Fuzzifikasi TFN'!H20+'4. Fuzzifikasi TFN'!K20+'4. Fuzzifikasi TFN'!N20+'4. Fuzzifikasi TFN'!Q20</f>
        <v/>
      </c>
      <c r="C6" s="28">
        <f>'4. Fuzzifikasi TFN'!C20+'4. Fuzzifikasi TFN'!F20+'4. Fuzzifikasi TFN'!I20+'4. Fuzzifikasi TFN'!L20+'4. Fuzzifikasi TFN'!O20+'4. Fuzzifikasi TFN'!R20</f>
        <v/>
      </c>
      <c r="D6" s="28">
        <f>'4. Fuzzifikasi TFN'!D20+'4. Fuzzifikasi TFN'!G20+'4. Fuzzifikasi TFN'!J20+'4. Fuzzifikasi TFN'!M20+'4. Fuzzifikasi TFN'!P20+'4. Fuzzifikasi TFN'!S20</f>
        <v/>
      </c>
    </row>
    <row r="7">
      <c r="A7" s="14" t="inlineStr">
        <is>
          <t>K2</t>
        </is>
      </c>
      <c r="B7" s="28">
        <f>'4. Fuzzifikasi TFN'!B21+'4. Fuzzifikasi TFN'!E21+'4. Fuzzifikasi TFN'!H21+'4. Fuzzifikasi TFN'!K21+'4. Fuzzifikasi TFN'!N21+'4. Fuzzifikasi TFN'!Q21</f>
        <v/>
      </c>
      <c r="C7" s="28">
        <f>'4. Fuzzifikasi TFN'!C21+'4. Fuzzifikasi TFN'!F21+'4. Fuzzifikasi TFN'!I21+'4. Fuzzifikasi TFN'!L21+'4. Fuzzifikasi TFN'!O21+'4. Fuzzifikasi TFN'!R21</f>
        <v/>
      </c>
      <c r="D7" s="28">
        <f>'4. Fuzzifikasi TFN'!D21+'4. Fuzzifikasi TFN'!G21+'4. Fuzzifikasi TFN'!J21+'4. Fuzzifikasi TFN'!M21+'4. Fuzzifikasi TFN'!P21+'4. Fuzzifikasi TFN'!S21</f>
        <v/>
      </c>
    </row>
    <row r="8">
      <c r="A8" s="14" t="inlineStr">
        <is>
          <t>K3</t>
        </is>
      </c>
      <c r="B8" s="28">
        <f>'4. Fuzzifikasi TFN'!B22+'4. Fuzzifikasi TFN'!E22+'4. Fuzzifikasi TFN'!H22+'4. Fuzzifikasi TFN'!K22+'4. Fuzzifikasi TFN'!N22+'4. Fuzzifikasi TFN'!Q22</f>
        <v/>
      </c>
      <c r="C8" s="28">
        <f>'4. Fuzzifikasi TFN'!C22+'4. Fuzzifikasi TFN'!F22+'4. Fuzzifikasi TFN'!I22+'4. Fuzzifikasi TFN'!L22+'4. Fuzzifikasi TFN'!O22+'4. Fuzzifikasi TFN'!R22</f>
        <v/>
      </c>
      <c r="D8" s="28">
        <f>'4. Fuzzifikasi TFN'!D22+'4. Fuzzifikasi TFN'!G22+'4. Fuzzifikasi TFN'!J22+'4. Fuzzifikasi TFN'!M22+'4. Fuzzifikasi TFN'!P22+'4. Fuzzifikasi TFN'!S22</f>
        <v/>
      </c>
    </row>
    <row r="9">
      <c r="A9" s="14" t="inlineStr">
        <is>
          <t>K4</t>
        </is>
      </c>
      <c r="B9" s="28">
        <f>'4. Fuzzifikasi TFN'!B23+'4. Fuzzifikasi TFN'!E23+'4. Fuzzifikasi TFN'!H23+'4. Fuzzifikasi TFN'!K23+'4. Fuzzifikasi TFN'!N23+'4. Fuzzifikasi TFN'!Q23</f>
        <v/>
      </c>
      <c r="C9" s="28">
        <f>'4. Fuzzifikasi TFN'!C23+'4. Fuzzifikasi TFN'!F23+'4. Fuzzifikasi TFN'!I23+'4. Fuzzifikasi TFN'!L23+'4. Fuzzifikasi TFN'!O23+'4. Fuzzifikasi TFN'!R23</f>
        <v/>
      </c>
      <c r="D9" s="28">
        <f>'4. Fuzzifikasi TFN'!D23+'4. Fuzzifikasi TFN'!G23+'4. Fuzzifikasi TFN'!J23+'4. Fuzzifikasi TFN'!M23+'4. Fuzzifikasi TFN'!P23+'4. Fuzzifikasi TFN'!S23</f>
        <v/>
      </c>
    </row>
    <row r="10">
      <c r="A10" s="14" t="inlineStr">
        <is>
          <t>K5</t>
        </is>
      </c>
      <c r="B10" s="28">
        <f>'4. Fuzzifikasi TFN'!B24+'4. Fuzzifikasi TFN'!E24+'4. Fuzzifikasi TFN'!H24+'4. Fuzzifikasi TFN'!K24+'4. Fuzzifikasi TFN'!N24+'4. Fuzzifikasi TFN'!Q24</f>
        <v/>
      </c>
      <c r="C10" s="28">
        <f>'4. Fuzzifikasi TFN'!C24+'4. Fuzzifikasi TFN'!F24+'4. Fuzzifikasi TFN'!I24+'4. Fuzzifikasi TFN'!L24+'4. Fuzzifikasi TFN'!O24+'4. Fuzzifikasi TFN'!R24</f>
        <v/>
      </c>
      <c r="D10" s="28">
        <f>'4. Fuzzifikasi TFN'!D24+'4. Fuzzifikasi TFN'!G24+'4. Fuzzifikasi TFN'!J24+'4. Fuzzifikasi TFN'!M24+'4. Fuzzifikasi TFN'!P24+'4. Fuzzifikasi TFN'!S24</f>
        <v/>
      </c>
    </row>
    <row r="11">
      <c r="A11" s="14" t="inlineStr">
        <is>
          <t>K6</t>
        </is>
      </c>
      <c r="B11" s="28">
        <f>'4. Fuzzifikasi TFN'!B25+'4. Fuzzifikasi TFN'!E25+'4. Fuzzifikasi TFN'!H25+'4. Fuzzifikasi TFN'!K25+'4. Fuzzifikasi TFN'!N25+'4. Fuzzifikasi TFN'!Q25</f>
        <v/>
      </c>
      <c r="C11" s="28">
        <f>'4. Fuzzifikasi TFN'!C25+'4. Fuzzifikasi TFN'!F25+'4. Fuzzifikasi TFN'!I25+'4. Fuzzifikasi TFN'!L25+'4. Fuzzifikasi TFN'!O25+'4. Fuzzifikasi TFN'!R25</f>
        <v/>
      </c>
      <c r="D11" s="28">
        <f>'4. Fuzzifikasi TFN'!D25+'4. Fuzzifikasi TFN'!G25+'4. Fuzzifikasi TFN'!J25+'4. Fuzzifikasi TFN'!M25+'4. Fuzzifikasi TFN'!P25+'4. Fuzzifikasi TFN'!S25</f>
        <v/>
      </c>
    </row>
    <row r="12">
      <c r="A12" s="16" t="inlineStr">
        <is>
          <t>Total</t>
        </is>
      </c>
      <c r="B12" s="32">
        <f>SUM(B6:B11)</f>
        <v/>
      </c>
      <c r="C12" s="32">
        <f>SUM(C6:C11)</f>
        <v/>
      </c>
      <c r="D12" s="32">
        <f>SUM(D6:D11)</f>
        <v/>
      </c>
    </row>
    <row r="14">
      <c r="A14" s="30" t="inlineStr">
        <is>
          <t>FUZZY SYNTHETIC EXTENT (Si)</t>
        </is>
      </c>
    </row>
    <row r="15">
      <c r="A15" s="4" t="inlineStr">
        <is>
          <t>Rumus: Si = (Σ row) ⊗ (1/Total_u, 1/Total_m, 1/Total_l)</t>
        </is>
      </c>
    </row>
    <row r="16">
      <c r="A16" s="31" t="inlineStr">
        <is>
          <t>Kriteria</t>
        </is>
      </c>
      <c r="B16" s="31" t="inlineStr">
        <is>
          <t>Si(l)</t>
        </is>
      </c>
      <c r="C16" s="31" t="inlineStr">
        <is>
          <t>Si(m)</t>
        </is>
      </c>
      <c r="D16" s="31" t="inlineStr">
        <is>
          <t>Si(u)</t>
        </is>
      </c>
    </row>
    <row r="17">
      <c r="A17" s="14" t="inlineStr">
        <is>
          <t>K1</t>
        </is>
      </c>
      <c r="B17" s="15">
        <f>B6/$D$12</f>
        <v/>
      </c>
      <c r="C17" s="15">
        <f>C6/$C$12</f>
        <v/>
      </c>
      <c r="D17" s="15">
        <f>D6/$B$12</f>
        <v/>
      </c>
    </row>
    <row r="18">
      <c r="A18" s="14" t="inlineStr">
        <is>
          <t>K2</t>
        </is>
      </c>
      <c r="B18" s="15">
        <f>B7/$D$12</f>
        <v/>
      </c>
      <c r="C18" s="15">
        <f>C7/$C$12</f>
        <v/>
      </c>
      <c r="D18" s="15">
        <f>D7/$B$12</f>
        <v/>
      </c>
    </row>
    <row r="19">
      <c r="A19" s="14" t="inlineStr">
        <is>
          <t>K3</t>
        </is>
      </c>
      <c r="B19" s="15">
        <f>B8/$D$12</f>
        <v/>
      </c>
      <c r="C19" s="15">
        <f>C8/$C$12</f>
        <v/>
      </c>
      <c r="D19" s="15">
        <f>D8/$B$12</f>
        <v/>
      </c>
    </row>
    <row r="20">
      <c r="A20" s="14" t="inlineStr">
        <is>
          <t>K4</t>
        </is>
      </c>
      <c r="B20" s="15">
        <f>B9/$D$12</f>
        <v/>
      </c>
      <c r="C20" s="15">
        <f>C9/$C$12</f>
        <v/>
      </c>
      <c r="D20" s="15">
        <f>D9/$B$12</f>
        <v/>
      </c>
    </row>
    <row r="21">
      <c r="A21" s="14" t="inlineStr">
        <is>
          <t>K5</t>
        </is>
      </c>
      <c r="B21" s="15">
        <f>B10/$D$12</f>
        <v/>
      </c>
      <c r="C21" s="15">
        <f>C10/$C$12</f>
        <v/>
      </c>
      <c r="D21" s="15">
        <f>D10/$B$12</f>
        <v/>
      </c>
    </row>
    <row r="22">
      <c r="A22" s="14" t="inlineStr">
        <is>
          <t>K6</t>
        </is>
      </c>
      <c r="B22" s="15">
        <f>B11/$D$12</f>
        <v/>
      </c>
      <c r="C22" s="15">
        <f>C11/$C$12</f>
        <v/>
      </c>
      <c r="D22" s="15">
        <f>D11/$B$12</f>
        <v/>
      </c>
    </row>
  </sheetData>
  <mergeCells count="5">
    <mergeCell ref="A1:H1"/>
    <mergeCell ref="A4:E4"/>
    <mergeCell ref="A15:E15"/>
    <mergeCell ref="A2:H2"/>
    <mergeCell ref="A14:E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33" t="inlineStr">
        <is>
          <t>LANGKAH 6: PERBANDINGAN PROBABILITAS, NORMALISASI &amp; BOBOT GLOBAL</t>
        </is>
      </c>
    </row>
    <row r="2">
      <c r="A2" s="22" t="inlineStr">
        <is>
          <t>V(Si ≥ Sk) dan d'(Ai) = min V(Si ≥ Sk)</t>
        </is>
      </c>
    </row>
    <row r="4">
      <c r="A4" s="34" t="inlineStr">
        <is>
          <t>NILAI ORDINAT d'(Ai)</t>
        </is>
      </c>
    </row>
    <row r="5">
      <c r="A5" s="4" t="inlineStr">
        <is>
          <t>Menggunakan Center of Area: d'(Ai) = (l + m + u) / 3</t>
        </is>
      </c>
    </row>
    <row r="6">
      <c r="A6" s="35" t="inlineStr">
        <is>
          <t>Kriteria</t>
        </is>
      </c>
      <c r="B6" s="35" t="inlineStr">
        <is>
          <t>d'(Ai)</t>
        </is>
      </c>
    </row>
    <row r="7">
      <c r="A7" s="14" t="inlineStr">
        <is>
          <t>K1</t>
        </is>
      </c>
      <c r="B7" s="15">
        <f>('5. Synthetic Extent'!B17+'5. Synthetic Extent'!C17+'5. Synthetic Extent'!D17)/3</f>
        <v/>
      </c>
    </row>
    <row r="8">
      <c r="A8" s="14" t="inlineStr">
        <is>
          <t>K2</t>
        </is>
      </c>
      <c r="B8" s="15">
        <f>('5. Synthetic Extent'!B18+'5. Synthetic Extent'!C18+'5. Synthetic Extent'!D18)/3</f>
        <v/>
      </c>
    </row>
    <row r="9">
      <c r="A9" s="14" t="inlineStr">
        <is>
          <t>K3</t>
        </is>
      </c>
      <c r="B9" s="15">
        <f>('5. Synthetic Extent'!B19+'5. Synthetic Extent'!C19+'5. Synthetic Extent'!D19)/3</f>
        <v/>
      </c>
    </row>
    <row r="10">
      <c r="A10" s="14" t="inlineStr">
        <is>
          <t>K4</t>
        </is>
      </c>
      <c r="B10" s="15">
        <f>('5. Synthetic Extent'!B20+'5. Synthetic Extent'!C20+'5. Synthetic Extent'!D20)/3</f>
        <v/>
      </c>
    </row>
    <row r="11">
      <c r="A11" s="14" t="inlineStr">
        <is>
          <t>K5</t>
        </is>
      </c>
      <c r="B11" s="15">
        <f>('5. Synthetic Extent'!B21+'5. Synthetic Extent'!C21+'5. Synthetic Extent'!D21)/3</f>
        <v/>
      </c>
    </row>
    <row r="12">
      <c r="A12" s="14" t="inlineStr">
        <is>
          <t>K6</t>
        </is>
      </c>
      <c r="B12" s="15">
        <f>('5. Synthetic Extent'!B22+'5. Synthetic Extent'!C22+'5. Synthetic Extent'!D22)/3</f>
        <v/>
      </c>
    </row>
    <row r="13">
      <c r="A13" s="9" t="inlineStr">
        <is>
          <t>Total</t>
        </is>
      </c>
      <c r="B13" s="16">
        <f>SUM(B7:B12)</f>
        <v/>
      </c>
    </row>
    <row r="15">
      <c r="A15" s="34" t="inlineStr">
        <is>
          <t>BOBOT GLOBAL TERNORMALISASI</t>
        </is>
      </c>
    </row>
    <row r="16">
      <c r="A16" s="4" t="inlineStr">
        <is>
          <t>Rumus: Wi = d'(Ai) / Σ d'(Ai)</t>
        </is>
      </c>
    </row>
    <row r="17">
      <c r="A17" s="35" t="inlineStr">
        <is>
          <t>Kriteria</t>
        </is>
      </c>
      <c r="B17" s="35" t="inlineStr">
        <is>
          <t>Bobot Global (Wi)</t>
        </is>
      </c>
      <c r="C17" s="35" t="inlineStr">
        <is>
          <t>Persentase</t>
        </is>
      </c>
    </row>
    <row r="18">
      <c r="A18" s="14" t="inlineStr">
        <is>
          <t>Status Keaktifan di Gugus Depan</t>
        </is>
      </c>
      <c r="B18" s="15">
        <f>B7/$B$13</f>
        <v/>
      </c>
      <c r="C18" s="36">
        <f>B18*100</f>
        <v/>
      </c>
    </row>
    <row r="19">
      <c r="A19" s="14" t="inlineStr">
        <is>
          <t>Pencapaian SKU</t>
        </is>
      </c>
      <c r="B19" s="15">
        <f>B8/$B$13</f>
        <v/>
      </c>
      <c r="C19" s="36">
        <f>B19*100</f>
        <v/>
      </c>
    </row>
    <row r="20">
      <c r="A20" s="14" t="inlineStr">
        <is>
          <t>Pencapaian SPG</t>
        </is>
      </c>
      <c r="B20" s="15">
        <f>B9/$B$13</f>
        <v/>
      </c>
      <c r="C20" s="36">
        <f>B20*100</f>
        <v/>
      </c>
    </row>
    <row r="21">
      <c r="A21" s="14" t="inlineStr">
        <is>
          <t>Kesehatan Jasmani dan Rohani</t>
        </is>
      </c>
      <c r="B21" s="15">
        <f>B10/$B$13</f>
        <v/>
      </c>
      <c r="C21" s="36">
        <f>B21*100</f>
        <v/>
      </c>
    </row>
    <row r="22">
      <c r="A22" s="14" t="inlineStr">
        <is>
          <t>Tes Wawancara</t>
        </is>
      </c>
      <c r="B22" s="15">
        <f>B11/$B$13</f>
        <v/>
      </c>
      <c r="C22" s="36">
        <f>B22*100</f>
        <v/>
      </c>
    </row>
    <row r="23">
      <c r="A23" s="14" t="inlineStr">
        <is>
          <t>Tes Pilihan Ganda</t>
        </is>
      </c>
      <c r="B23" s="15">
        <f>B12/$B$13</f>
        <v/>
      </c>
      <c r="C23" s="36">
        <f>B23*100</f>
        <v/>
      </c>
    </row>
    <row r="24">
      <c r="A24" s="9" t="inlineStr">
        <is>
          <t>Total</t>
        </is>
      </c>
      <c r="B24" s="16">
        <f>SUM(B18:B23)</f>
        <v/>
      </c>
      <c r="C24" s="16">
        <f>SUM(C18:C23)</f>
        <v/>
      </c>
    </row>
  </sheetData>
  <mergeCells count="6">
    <mergeCell ref="A5:D5"/>
    <mergeCell ref="A2:I2"/>
    <mergeCell ref="A4:D4"/>
    <mergeCell ref="A1:I1"/>
    <mergeCell ref="A15:D15"/>
    <mergeCell ref="A16:D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</cols>
  <sheetData>
    <row r="1">
      <c r="A1" s="37" t="inlineStr">
        <is>
          <t>LANGKAH 7: PERHITUNGAN NILAI PESERTA</t>
        </is>
      </c>
    </row>
    <row r="2">
      <c r="A2" s="22" t="inlineStr">
        <is>
          <t>Skor Akhir = Σ (Nilai Kriteria × Bobot)</t>
        </is>
      </c>
    </row>
    <row r="4">
      <c r="A4" s="3" t="inlineStr">
        <is>
          <t>BOBOT KRITERIA</t>
        </is>
      </c>
    </row>
    <row r="5">
      <c r="A5" s="7" t="inlineStr">
        <is>
          <t>K1</t>
        </is>
      </c>
      <c r="B5" s="7" t="inlineStr">
        <is>
          <t>K2</t>
        </is>
      </c>
      <c r="C5" s="7" t="inlineStr">
        <is>
          <t>K3</t>
        </is>
      </c>
      <c r="D5" s="7" t="inlineStr">
        <is>
          <t>K4</t>
        </is>
      </c>
      <c r="E5" s="7" t="inlineStr">
        <is>
          <t>K5</t>
        </is>
      </c>
      <c r="F5" s="7" t="inlineStr">
        <is>
          <t>K6</t>
        </is>
      </c>
    </row>
    <row r="6">
      <c r="A6" s="15">
        <f>'6. Bobot Global'!B18</f>
        <v/>
      </c>
      <c r="B6" s="15">
        <f>'6. Bobot Global'!B19</f>
        <v/>
      </c>
      <c r="C6" s="15">
        <f>'6. Bobot Global'!B20</f>
        <v/>
      </c>
      <c r="D6" s="15">
        <f>'6. Bobot Global'!B21</f>
        <v/>
      </c>
      <c r="E6" s="15">
        <f>'6. Bobot Global'!B22</f>
        <v/>
      </c>
      <c r="F6" s="15">
        <f>'6. Bobot Global'!B23</f>
        <v/>
      </c>
    </row>
    <row r="8">
      <c r="A8" s="3" t="inlineStr">
        <is>
          <t>INPUT NILAI PESERTA</t>
        </is>
      </c>
    </row>
    <row r="9">
      <c r="A9" s="7" t="inlineStr">
        <is>
          <t>No</t>
        </is>
      </c>
      <c r="B9" s="7" t="inlineStr">
        <is>
          <t>Nama Peserta</t>
        </is>
      </c>
      <c r="C9" s="7" t="inlineStr">
        <is>
          <t>K1</t>
        </is>
      </c>
      <c r="D9" s="7" t="inlineStr">
        <is>
          <t>K2</t>
        </is>
      </c>
      <c r="E9" s="7" t="inlineStr">
        <is>
          <t>K3</t>
        </is>
      </c>
      <c r="F9" s="7" t="inlineStr">
        <is>
          <t>K4</t>
        </is>
      </c>
      <c r="G9" s="7" t="inlineStr">
        <is>
          <t>K5</t>
        </is>
      </c>
      <c r="H9" s="7" t="inlineStr">
        <is>
          <t>K6</t>
        </is>
      </c>
    </row>
    <row r="10">
      <c r="A10" s="9" t="n">
        <v>1</v>
      </c>
      <c r="B10" s="10" t="inlineStr">
        <is>
          <t>David Kulian</t>
        </is>
      </c>
      <c r="C10" s="10" t="n">
        <v>85</v>
      </c>
      <c r="D10" s="10" t="n">
        <v>90</v>
      </c>
      <c r="E10" s="10" t="n">
        <v>88</v>
      </c>
      <c r="F10" s="10" t="n">
        <v>92</v>
      </c>
      <c r="G10" s="10" t="n">
        <v>87</v>
      </c>
      <c r="H10" s="10" t="n">
        <v>85</v>
      </c>
    </row>
    <row r="11">
      <c r="A11" s="9" t="n">
        <v>2</v>
      </c>
      <c r="B11" s="10" t="inlineStr">
        <is>
          <t>Siti Aminah</t>
        </is>
      </c>
      <c r="C11" s="10" t="n">
        <v>78</v>
      </c>
      <c r="D11" s="10" t="n">
        <v>85</v>
      </c>
      <c r="E11" s="10" t="n">
        <v>82</v>
      </c>
      <c r="F11" s="10" t="n">
        <v>88</v>
      </c>
      <c r="G11" s="10" t="n">
        <v>80</v>
      </c>
      <c r="H11" s="10" t="n">
        <v>78</v>
      </c>
    </row>
    <row r="12">
      <c r="A12" s="9" t="n">
        <v>3</v>
      </c>
      <c r="B12" s="10" t="inlineStr">
        <is>
          <t>Budi Santoso</t>
        </is>
      </c>
      <c r="C12" s="10" t="n">
        <v>92</v>
      </c>
      <c r="D12" s="10" t="n">
        <v>88</v>
      </c>
      <c r="E12" s="10" t="n">
        <v>90</v>
      </c>
      <c r="F12" s="10" t="n">
        <v>85</v>
      </c>
      <c r="G12" s="10" t="n">
        <v>88</v>
      </c>
      <c r="H12" s="10" t="n">
        <v>90</v>
      </c>
    </row>
    <row r="13">
      <c r="A13" s="9" t="n">
        <v>4</v>
      </c>
      <c r="B13" s="10" t="inlineStr">
        <is>
          <t>Dewi Lestari</t>
        </is>
      </c>
      <c r="C13" s="10" t="n">
        <v>80</v>
      </c>
      <c r="D13" s="10" t="n">
        <v>82</v>
      </c>
      <c r="E13" s="10" t="n">
        <v>85</v>
      </c>
      <c r="F13" s="10" t="n">
        <v>90</v>
      </c>
      <c r="G13" s="10" t="n">
        <v>82</v>
      </c>
      <c r="H13" s="10" t="n">
        <v>80</v>
      </c>
    </row>
    <row r="14">
      <c r="A14" s="9" t="n">
        <v>5</v>
      </c>
      <c r="B14" s="10" t="inlineStr">
        <is>
          <t>Ahmad Fauzi</t>
        </is>
      </c>
      <c r="C14" s="10" t="n">
        <v>88</v>
      </c>
      <c r="D14" s="10" t="n">
        <v>92</v>
      </c>
      <c r="E14" s="10" t="n">
        <v>87</v>
      </c>
      <c r="F14" s="10" t="n">
        <v>80</v>
      </c>
      <c r="G14" s="10" t="n">
        <v>90</v>
      </c>
      <c r="H14" s="10" t="n">
        <v>88</v>
      </c>
    </row>
    <row r="17">
      <c r="A17" s="12" t="inlineStr">
        <is>
          <t>PERHITUNGAN SKOR AKHIR</t>
        </is>
      </c>
    </row>
    <row r="18">
      <c r="A18" s="13" t="inlineStr">
        <is>
          <t>No</t>
        </is>
      </c>
      <c r="B18" s="13" t="inlineStr">
        <is>
          <t>Nama Peserta</t>
        </is>
      </c>
      <c r="C18" s="13" t="inlineStr">
        <is>
          <t>K1×W</t>
        </is>
      </c>
      <c r="D18" s="13" t="inlineStr">
        <is>
          <t>K2×W</t>
        </is>
      </c>
      <c r="E18" s="13" t="inlineStr">
        <is>
          <t>K3×W</t>
        </is>
      </c>
      <c r="F18" s="13" t="inlineStr">
        <is>
          <t>K4×W</t>
        </is>
      </c>
      <c r="G18" s="13" t="inlineStr">
        <is>
          <t>K5×W</t>
        </is>
      </c>
      <c r="H18" s="13" t="inlineStr">
        <is>
          <t>K6×W</t>
        </is>
      </c>
      <c r="I18" s="31" t="inlineStr">
        <is>
          <t>Skor Akhir</t>
        </is>
      </c>
      <c r="J18" s="31" t="inlineStr">
        <is>
          <t>Ranking</t>
        </is>
      </c>
    </row>
    <row r="19">
      <c r="A19" s="9" t="n">
        <v>1</v>
      </c>
      <c r="B19" s="14">
        <f>B10</f>
        <v/>
      </c>
      <c r="C19" s="28">
        <f>C10*$A$6</f>
        <v/>
      </c>
      <c r="D19" s="28">
        <f>D10*$B$6</f>
        <v/>
      </c>
      <c r="E19" s="28">
        <f>E10*$C$6</f>
        <v/>
      </c>
      <c r="F19" s="28">
        <f>F10*$D$6</f>
        <v/>
      </c>
      <c r="G19" s="28">
        <f>G10*$E$6</f>
        <v/>
      </c>
      <c r="H19" s="28">
        <f>H10*$F$6</f>
        <v/>
      </c>
      <c r="I19" s="38">
        <f>SUM(C19:H19)</f>
        <v/>
      </c>
      <c r="J19" s="16">
        <f>RANK(I19,$I$19:$I$23,0)</f>
        <v/>
      </c>
    </row>
    <row r="20">
      <c r="A20" s="9" t="n">
        <v>2</v>
      </c>
      <c r="B20" s="14">
        <f>B11</f>
        <v/>
      </c>
      <c r="C20" s="28">
        <f>C11*$A$6</f>
        <v/>
      </c>
      <c r="D20" s="28">
        <f>D11*$B$6</f>
        <v/>
      </c>
      <c r="E20" s="28">
        <f>E11*$C$6</f>
        <v/>
      </c>
      <c r="F20" s="28">
        <f>F11*$D$6</f>
        <v/>
      </c>
      <c r="G20" s="28">
        <f>G11*$E$6</f>
        <v/>
      </c>
      <c r="H20" s="28">
        <f>H11*$F$6</f>
        <v/>
      </c>
      <c r="I20" s="38">
        <f>SUM(C20:H20)</f>
        <v/>
      </c>
      <c r="J20" s="16">
        <f>RANK(I20,$I$19:$I$23,0)</f>
        <v/>
      </c>
    </row>
    <row r="21">
      <c r="A21" s="9" t="n">
        <v>3</v>
      </c>
      <c r="B21" s="14">
        <f>B12</f>
        <v/>
      </c>
      <c r="C21" s="28">
        <f>C12*$A$6</f>
        <v/>
      </c>
      <c r="D21" s="28">
        <f>D12*$B$6</f>
        <v/>
      </c>
      <c r="E21" s="28">
        <f>E12*$C$6</f>
        <v/>
      </c>
      <c r="F21" s="28">
        <f>F12*$D$6</f>
        <v/>
      </c>
      <c r="G21" s="28">
        <f>G12*$E$6</f>
        <v/>
      </c>
      <c r="H21" s="28">
        <f>H12*$F$6</f>
        <v/>
      </c>
      <c r="I21" s="38">
        <f>SUM(C21:H21)</f>
        <v/>
      </c>
      <c r="J21" s="16">
        <f>RANK(I21,$I$19:$I$23,0)</f>
        <v/>
      </c>
    </row>
    <row r="22">
      <c r="A22" s="9" t="n">
        <v>4</v>
      </c>
      <c r="B22" s="14">
        <f>B13</f>
        <v/>
      </c>
      <c r="C22" s="28">
        <f>C13*$A$6</f>
        <v/>
      </c>
      <c r="D22" s="28">
        <f>D13*$B$6</f>
        <v/>
      </c>
      <c r="E22" s="28">
        <f>E13*$C$6</f>
        <v/>
      </c>
      <c r="F22" s="28">
        <f>F13*$D$6</f>
        <v/>
      </c>
      <c r="G22" s="28">
        <f>G13*$E$6</f>
        <v/>
      </c>
      <c r="H22" s="28">
        <f>H13*$F$6</f>
        <v/>
      </c>
      <c r="I22" s="38">
        <f>SUM(C22:H22)</f>
        <v/>
      </c>
      <c r="J22" s="16">
        <f>RANK(I22,$I$19:$I$23,0)</f>
        <v/>
      </c>
    </row>
    <row r="23">
      <c r="A23" s="9" t="n">
        <v>5</v>
      </c>
      <c r="B23" s="14">
        <f>B14</f>
        <v/>
      </c>
      <c r="C23" s="28">
        <f>C14*$A$6</f>
        <v/>
      </c>
      <c r="D23" s="28">
        <f>D14*$B$6</f>
        <v/>
      </c>
      <c r="E23" s="28">
        <f>E14*$C$6</f>
        <v/>
      </c>
      <c r="F23" s="28">
        <f>F14*$D$6</f>
        <v/>
      </c>
      <c r="G23" s="28">
        <f>G14*$E$6</f>
        <v/>
      </c>
      <c r="H23" s="28">
        <f>H14*$F$6</f>
        <v/>
      </c>
      <c r="I23" s="38">
        <f>SUM(C23:H23)</f>
        <v/>
      </c>
      <c r="J23" s="16">
        <f>RANK(I23,$I$19:$I$23,0)</f>
        <v/>
      </c>
    </row>
  </sheetData>
  <mergeCells count="5">
    <mergeCell ref="A2:L2"/>
    <mergeCell ref="A17:J17"/>
    <mergeCell ref="A1:L1"/>
    <mergeCell ref="A4:G4"/>
    <mergeCell ref="A8:H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2026-02-04T13:39:39Z</dcterms:created>
  <dcterms:modified xsi:type="dcterms:W3CDTF">2026-02-04T13:39:39Z</dcterms:modified>
</cp:coreProperties>
</file>