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obot Kriteria" sheetId="1" state="visible" r:id="rId1"/>
    <sheet name="2. Data Peserta" sheetId="2" state="visible" r:id="rId2"/>
    <sheet name="3. Nilai Peserta" sheetId="3" state="visible" r:id="rId3"/>
    <sheet name="4. Hasil &amp; Ranking" sheetId="4" state="visible" r:id="rId4"/>
    <sheet name="5. Referen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1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FF0000"/>
    </font>
    <font>
      <b val="1"/>
      <color rgb="00FFFFFF"/>
      <sz val="12"/>
    </font>
    <font>
      <b val="1"/>
      <color rgb="00FFFFFF"/>
      <sz val="11"/>
    </font>
    <font>
      <sz val="10"/>
    </font>
    <font>
      <color rgb="000000FF"/>
      <sz val="11"/>
    </font>
    <font>
      <b val="1"/>
    </font>
    <font>
      <i val="1"/>
      <color rgb="00666666"/>
    </font>
    <font>
      <b val="1"/>
      <sz val="12"/>
    </font>
    <font>
      <b val="1"/>
      <color rgb="001F4E79"/>
      <sz val="16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5" fillId="9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2" fontId="5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FUZZY AHP - PERHITUNGAN BOBOT KRITERIA</t>
        </is>
      </c>
    </row>
    <row r="2">
      <c r="A2" s="2" t="inlineStr">
        <is>
          <t>Masukkan bobot kriteria dengan skala 1-10 di kolom INPUT</t>
        </is>
      </c>
    </row>
    <row r="4">
      <c r="A4" s="3" t="inlineStr">
        <is>
          <t>TABEL KONVERSI SKALA KE FUZZY (TFN)</t>
        </is>
      </c>
    </row>
    <row r="5">
      <c r="A5" s="4" t="inlineStr">
        <is>
          <t>Skala</t>
        </is>
      </c>
      <c r="B5" s="4" t="inlineStr">
        <is>
          <t>Keterangan</t>
        </is>
      </c>
      <c r="C5" s="4" t="inlineStr">
        <is>
          <t>l</t>
        </is>
      </c>
      <c r="D5" s="4" t="inlineStr">
        <is>
          <t>m</t>
        </is>
      </c>
      <c r="E5" s="4" t="inlineStr">
        <is>
          <t>u</t>
        </is>
      </c>
    </row>
    <row r="6">
      <c r="A6" s="5" t="n">
        <v>1</v>
      </c>
      <c r="B6" s="5" t="inlineStr">
        <is>
          <t>Sangat Tidak Penting</t>
        </is>
      </c>
      <c r="C6" s="5" t="n">
        <v>0</v>
      </c>
      <c r="D6" s="5" t="n">
        <v>0.1</v>
      </c>
      <c r="E6" s="5" t="n">
        <v>0.2</v>
      </c>
    </row>
    <row r="7">
      <c r="A7" s="5" t="n">
        <v>2</v>
      </c>
      <c r="B7" s="5" t="inlineStr">
        <is>
          <t>Tidak Penting</t>
        </is>
      </c>
      <c r="C7" s="5" t="n">
        <v>0.1</v>
      </c>
      <c r="D7" s="5" t="n">
        <v>0.2</v>
      </c>
      <c r="E7" s="5" t="n">
        <v>0.3</v>
      </c>
    </row>
    <row r="8">
      <c r="A8" s="5" t="n">
        <v>3</v>
      </c>
      <c r="B8" s="5" t="inlineStr">
        <is>
          <t>Agak Tidak Penting</t>
        </is>
      </c>
      <c r="C8" s="5" t="n">
        <v>0.2</v>
      </c>
      <c r="D8" s="5" t="n">
        <v>0.3</v>
      </c>
      <c r="E8" s="5" t="n">
        <v>0.4</v>
      </c>
    </row>
    <row r="9">
      <c r="A9" s="5" t="n">
        <v>4</v>
      </c>
      <c r="B9" s="5" t="inlineStr">
        <is>
          <t>Sedikit Tidak Penting</t>
        </is>
      </c>
      <c r="C9" s="5" t="n">
        <v>0.3</v>
      </c>
      <c r="D9" s="5" t="n">
        <v>0.4</v>
      </c>
      <c r="E9" s="5" t="n">
        <v>0.5</v>
      </c>
    </row>
    <row r="10">
      <c r="A10" s="5" t="n">
        <v>5</v>
      </c>
      <c r="B10" s="5" t="inlineStr">
        <is>
          <t>Cukup Penting</t>
        </is>
      </c>
      <c r="C10" s="5" t="n">
        <v>0.4</v>
      </c>
      <c r="D10" s="5" t="n">
        <v>0.5</v>
      </c>
      <c r="E10" s="5" t="n">
        <v>0.6</v>
      </c>
    </row>
    <row r="11">
      <c r="A11" s="5" t="n">
        <v>6</v>
      </c>
      <c r="B11" s="5" t="inlineStr">
        <is>
          <t>Agak Penting</t>
        </is>
      </c>
      <c r="C11" s="5" t="n">
        <v>0.5</v>
      </c>
      <c r="D11" s="5" t="n">
        <v>0.6</v>
      </c>
      <c r="E11" s="5" t="n">
        <v>0.7</v>
      </c>
    </row>
    <row r="12">
      <c r="A12" s="5" t="n">
        <v>7</v>
      </c>
      <c r="B12" s="5" t="inlineStr">
        <is>
          <t>Penting</t>
        </is>
      </c>
      <c r="C12" s="5" t="n">
        <v>0.6</v>
      </c>
      <c r="D12" s="5" t="n">
        <v>0.7</v>
      </c>
      <c r="E12" s="5" t="n">
        <v>0.8</v>
      </c>
    </row>
    <row r="13">
      <c r="A13" s="5" t="n">
        <v>8</v>
      </c>
      <c r="B13" s="5" t="inlineStr">
        <is>
          <t>Sangat Penting</t>
        </is>
      </c>
      <c r="C13" s="5" t="n">
        <v>0.7</v>
      </c>
      <c r="D13" s="5" t="n">
        <v>0.8</v>
      </c>
      <c r="E13" s="5" t="n">
        <v>0.9</v>
      </c>
    </row>
    <row r="14">
      <c r="A14" s="5" t="n">
        <v>9</v>
      </c>
      <c r="B14" s="5" t="inlineStr">
        <is>
          <t>Amat Sangat Penting</t>
        </is>
      </c>
      <c r="C14" s="5" t="n">
        <v>0.8</v>
      </c>
      <c r="D14" s="5" t="n">
        <v>0.9</v>
      </c>
      <c r="E14" s="5" t="n">
        <v>1</v>
      </c>
    </row>
    <row r="15">
      <c r="A15" s="5" t="n">
        <v>10</v>
      </c>
      <c r="B15" s="5" t="inlineStr">
        <is>
          <t>Mutlak Penting</t>
        </is>
      </c>
      <c r="C15" s="5" t="n">
        <v>0.9</v>
      </c>
      <c r="D15" s="5" t="n">
        <v>1</v>
      </c>
      <c r="E15" s="5" t="n">
        <v>1</v>
      </c>
    </row>
    <row r="17">
      <c r="A17" s="3" t="inlineStr">
        <is>
          <t>INPUT BOBOT KRITERIA (Skala 1-10)</t>
        </is>
      </c>
    </row>
    <row r="18">
      <c r="A18" s="4" t="inlineStr">
        <is>
          <t>Kode</t>
        </is>
      </c>
      <c r="B18" s="4" t="inlineStr">
        <is>
          <t>Nama Kriteria</t>
        </is>
      </c>
      <c r="C18" s="6" t="inlineStr">
        <is>
          <t>INPUT
(1-10)</t>
        </is>
      </c>
      <c r="D18" s="4" t="inlineStr">
        <is>
          <t>l</t>
        </is>
      </c>
      <c r="E18" s="4" t="inlineStr">
        <is>
          <t>m</t>
        </is>
      </c>
      <c r="F18" s="4" t="inlineStr">
        <is>
          <t>u</t>
        </is>
      </c>
      <c r="G18" s="4" t="inlineStr">
        <is>
          <t>Defuzzifikasi</t>
        </is>
      </c>
      <c r="H18" s="7" t="inlineStr">
        <is>
          <t>Bobot Normal</t>
        </is>
      </c>
    </row>
    <row r="19">
      <c r="A19" s="8" t="inlineStr">
        <is>
          <t>K1</t>
        </is>
      </c>
      <c r="B19" s="5" t="inlineStr">
        <is>
          <t>Status Keaktifan di Gugus Depan</t>
        </is>
      </c>
      <c r="C19" s="9" t="n">
        <v>8</v>
      </c>
      <c r="D19" s="10">
        <f>(C19-1)*0.1</f>
        <v/>
      </c>
      <c r="E19" s="10">
        <f>C19*0.1</f>
        <v/>
      </c>
      <c r="F19" s="10">
        <f>MIN(1,(C19+1)*0.1)</f>
        <v/>
      </c>
      <c r="G19" s="11">
        <f>(D19+E19+F19)/3</f>
        <v/>
      </c>
      <c r="H19" s="11">
        <f>G19/$G$25</f>
        <v/>
      </c>
    </row>
    <row r="20">
      <c r="A20" s="8" t="inlineStr">
        <is>
          <t>K2</t>
        </is>
      </c>
      <c r="B20" s="5" t="inlineStr">
        <is>
          <t>Pencapaian SKU</t>
        </is>
      </c>
      <c r="C20" s="9" t="n">
        <v>7</v>
      </c>
      <c r="D20" s="10">
        <f>(C20-1)*0.1</f>
        <v/>
      </c>
      <c r="E20" s="10">
        <f>C20*0.1</f>
        <v/>
      </c>
      <c r="F20" s="10">
        <f>MIN(1,(C20+1)*0.1)</f>
        <v/>
      </c>
      <c r="G20" s="11">
        <f>(D20+E20+F20)/3</f>
        <v/>
      </c>
      <c r="H20" s="11">
        <f>G20/$G$25</f>
        <v/>
      </c>
    </row>
    <row r="21">
      <c r="A21" s="8" t="inlineStr">
        <is>
          <t>K3</t>
        </is>
      </c>
      <c r="B21" s="5" t="inlineStr">
        <is>
          <t>Pencapaian SPG</t>
        </is>
      </c>
      <c r="C21" s="9" t="n">
        <v>7</v>
      </c>
      <c r="D21" s="10">
        <f>(C21-1)*0.1</f>
        <v/>
      </c>
      <c r="E21" s="10">
        <f>C21*0.1</f>
        <v/>
      </c>
      <c r="F21" s="10">
        <f>MIN(1,(C21+1)*0.1)</f>
        <v/>
      </c>
      <c r="G21" s="11">
        <f>(D21+E21+F21)/3</f>
        <v/>
      </c>
      <c r="H21" s="11">
        <f>G21/$G$25</f>
        <v/>
      </c>
    </row>
    <row r="22">
      <c r="A22" s="8" t="inlineStr">
        <is>
          <t>K4</t>
        </is>
      </c>
      <c r="B22" s="5" t="inlineStr">
        <is>
          <t>Kesehatan Jasmani dan Rohani</t>
        </is>
      </c>
      <c r="C22" s="9" t="n">
        <v>8</v>
      </c>
      <c r="D22" s="10">
        <f>(C22-1)*0.1</f>
        <v/>
      </c>
      <c r="E22" s="10">
        <f>C22*0.1</f>
        <v/>
      </c>
      <c r="F22" s="10">
        <f>MIN(1,(C22+1)*0.1)</f>
        <v/>
      </c>
      <c r="G22" s="11">
        <f>(D22+E22+F22)/3</f>
        <v/>
      </c>
      <c r="H22" s="11">
        <f>G22/$G$25</f>
        <v/>
      </c>
    </row>
    <row r="23">
      <c r="A23" s="8" t="inlineStr">
        <is>
          <t>K5</t>
        </is>
      </c>
      <c r="B23" s="5" t="inlineStr">
        <is>
          <t>Tes Wawancara</t>
        </is>
      </c>
      <c r="C23" s="9" t="n">
        <v>6</v>
      </c>
      <c r="D23" s="10">
        <f>(C23-1)*0.1</f>
        <v/>
      </c>
      <c r="E23" s="10">
        <f>C23*0.1</f>
        <v/>
      </c>
      <c r="F23" s="10">
        <f>MIN(1,(C23+1)*0.1)</f>
        <v/>
      </c>
      <c r="G23" s="11">
        <f>(D23+E23+F23)/3</f>
        <v/>
      </c>
      <c r="H23" s="11">
        <f>G23/$G$25</f>
        <v/>
      </c>
    </row>
    <row r="24">
      <c r="A24" s="8" t="inlineStr">
        <is>
          <t>K6</t>
        </is>
      </c>
      <c r="B24" s="5" t="inlineStr">
        <is>
          <t>Tes Pilihan Ganda</t>
        </is>
      </c>
      <c r="C24" s="9" t="n">
        <v>6</v>
      </c>
      <c r="D24" s="10">
        <f>(C24-1)*0.1</f>
        <v/>
      </c>
      <c r="E24" s="10">
        <f>C24*0.1</f>
        <v/>
      </c>
      <c r="F24" s="10">
        <f>MIN(1,(C24+1)*0.1)</f>
        <v/>
      </c>
      <c r="G24" s="11">
        <f>(D24+E24+F24)/3</f>
        <v/>
      </c>
      <c r="H24" s="11">
        <f>G24/$G$25</f>
        <v/>
      </c>
    </row>
    <row r="25">
      <c r="F25" s="12" t="inlineStr">
        <is>
          <t>Total:</t>
        </is>
      </c>
      <c r="G25" s="13">
        <f>SUM(G19:G24)</f>
        <v/>
      </c>
      <c r="H25" s="13">
        <f>SUM(H19:H24)</f>
        <v/>
      </c>
    </row>
    <row r="27">
      <c r="A27" s="3" t="inlineStr">
        <is>
          <t>RINGKASAN BOBOT KRITERIA</t>
        </is>
      </c>
    </row>
    <row r="28">
      <c r="A28" s="7" t="inlineStr">
        <is>
          <t>Kriteria</t>
        </is>
      </c>
      <c r="B28" s="7" t="inlineStr">
        <is>
          <t>Bobot</t>
        </is>
      </c>
      <c r="C28" s="7" t="inlineStr">
        <is>
          <t>Persentase</t>
        </is>
      </c>
    </row>
    <row r="29">
      <c r="A29" s="5" t="inlineStr">
        <is>
          <t>Status Keaktifan di Gugus Depan</t>
        </is>
      </c>
      <c r="B29" s="11">
        <f>H19</f>
        <v/>
      </c>
      <c r="C29" s="14">
        <f>H19*100</f>
        <v/>
      </c>
    </row>
    <row r="30">
      <c r="A30" s="5" t="inlineStr">
        <is>
          <t>Pencapaian SKU</t>
        </is>
      </c>
      <c r="B30" s="11">
        <f>H20</f>
        <v/>
      </c>
      <c r="C30" s="14">
        <f>H20*100</f>
        <v/>
      </c>
    </row>
    <row r="31">
      <c r="A31" s="5" t="inlineStr">
        <is>
          <t>Pencapaian SPG</t>
        </is>
      </c>
      <c r="B31" s="11">
        <f>H21</f>
        <v/>
      </c>
      <c r="C31" s="14">
        <f>H21*100</f>
        <v/>
      </c>
    </row>
    <row r="32">
      <c r="A32" s="5" t="inlineStr">
        <is>
          <t>Kesehatan Jasmani dan Rohani</t>
        </is>
      </c>
      <c r="B32" s="11">
        <f>H22</f>
        <v/>
      </c>
      <c r="C32" s="14">
        <f>H22*100</f>
        <v/>
      </c>
    </row>
    <row r="33">
      <c r="A33" s="5" t="inlineStr">
        <is>
          <t>Tes Wawancara</t>
        </is>
      </c>
      <c r="B33" s="11">
        <f>H23</f>
        <v/>
      </c>
      <c r="C33" s="14">
        <f>H23*100</f>
        <v/>
      </c>
    </row>
    <row r="34">
      <c r="A34" s="5" t="inlineStr">
        <is>
          <t>Tes Pilihan Ganda</t>
        </is>
      </c>
      <c r="B34" s="11">
        <f>H24</f>
        <v/>
      </c>
      <c r="C34" s="14">
        <f>H24*100</f>
        <v/>
      </c>
    </row>
  </sheetData>
  <mergeCells count="5">
    <mergeCell ref="A27:D27"/>
    <mergeCell ref="A4:E4"/>
    <mergeCell ref="A2:H2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</cols>
  <sheetData>
    <row r="1">
      <c r="A1" s="1" t="inlineStr">
        <is>
          <t>DATA KEGIATAN &amp; PESERTA</t>
        </is>
      </c>
    </row>
    <row r="3">
      <c r="A3" s="3" t="inlineStr">
        <is>
          <t>DATA KEGIATAN</t>
        </is>
      </c>
    </row>
    <row r="4">
      <c r="A4" s="12" t="inlineStr">
        <is>
          <t>Nama Kegiatan:</t>
        </is>
      </c>
      <c r="B4" s="9" t="inlineStr">
        <is>
          <t>Raimuna Daerah</t>
        </is>
      </c>
      <c r="C4" s="15" t="n"/>
      <c r="D4" s="16" t="n"/>
    </row>
    <row r="5">
      <c r="A5" s="12" t="inlineStr">
        <is>
          <t>Tanggal:</t>
        </is>
      </c>
      <c r="B5" s="9" t="inlineStr">
        <is>
          <t>25 Januari 2026</t>
        </is>
      </c>
      <c r="C5" s="15" t="n"/>
      <c r="D5" s="16" t="n"/>
    </row>
    <row r="6">
      <c r="A6" s="12" t="inlineStr">
        <is>
          <t>Kuota Peserta:</t>
        </is>
      </c>
      <c r="B6" s="9" t="n">
        <v>5</v>
      </c>
    </row>
    <row r="8">
      <c r="A8" s="3" t="inlineStr">
        <is>
          <t>DAFTAR PESERTA (Input Nama di Kolom Kuning)</t>
        </is>
      </c>
    </row>
    <row r="9">
      <c r="A9" s="4" t="inlineStr">
        <is>
          <t>No</t>
        </is>
      </c>
      <c r="B9" s="4" t="inlineStr">
        <is>
          <t>Nama Peserta</t>
        </is>
      </c>
      <c r="C9" s="4" t="inlineStr">
        <is>
          <t>Asal/Kwartir</t>
        </is>
      </c>
    </row>
    <row r="10">
      <c r="A10" s="5" t="n">
        <v>1</v>
      </c>
      <c r="B10" s="9" t="inlineStr">
        <is>
          <t>David Kulian</t>
        </is>
      </c>
      <c r="C10" s="9" t="inlineStr">
        <is>
          <t>Merauke</t>
        </is>
      </c>
    </row>
    <row r="11">
      <c r="A11" s="5" t="n">
        <v>2</v>
      </c>
      <c r="B11" s="9" t="inlineStr">
        <is>
          <t>Siti Aminah</t>
        </is>
      </c>
      <c r="C11" s="9" t="inlineStr">
        <is>
          <t>Jayapura</t>
        </is>
      </c>
    </row>
    <row r="12">
      <c r="A12" s="5" t="n">
        <v>3</v>
      </c>
      <c r="B12" s="9" t="inlineStr">
        <is>
          <t>Budi Santoso</t>
        </is>
      </c>
      <c r="C12" s="9" t="inlineStr">
        <is>
          <t>Sorong</t>
        </is>
      </c>
    </row>
    <row r="13">
      <c r="A13" s="5" t="n">
        <v>4</v>
      </c>
      <c r="B13" s="9" t="inlineStr">
        <is>
          <t>Dewi Lestari</t>
        </is>
      </c>
      <c r="C13" s="9" t="inlineStr">
        <is>
          <t>Manokwari</t>
        </is>
      </c>
    </row>
    <row r="14">
      <c r="A14" s="5" t="n">
        <v>5</v>
      </c>
      <c r="B14" s="9" t="inlineStr">
        <is>
          <t>Ahmad Fauzi</t>
        </is>
      </c>
      <c r="C14" s="9" t="inlineStr">
        <is>
          <t>Biak</t>
        </is>
      </c>
    </row>
    <row r="15">
      <c r="A15" s="5" t="n">
        <v>6</v>
      </c>
      <c r="B15" s="9" t="inlineStr"/>
      <c r="C15" s="9" t="inlineStr"/>
    </row>
    <row r="16">
      <c r="A16" s="5" t="n">
        <v>7</v>
      </c>
      <c r="B16" s="9" t="inlineStr"/>
      <c r="C16" s="9" t="inlineStr"/>
    </row>
    <row r="17">
      <c r="A17" s="5" t="n">
        <v>8</v>
      </c>
      <c r="B17" s="9" t="inlineStr"/>
      <c r="C17" s="9" t="inlineStr"/>
    </row>
    <row r="18">
      <c r="A18" s="5" t="n">
        <v>9</v>
      </c>
      <c r="B18" s="9" t="inlineStr"/>
      <c r="C18" s="9" t="inlineStr"/>
    </row>
    <row r="19">
      <c r="A19" s="5" t="n">
        <v>10</v>
      </c>
      <c r="B19" s="9" t="inlineStr"/>
      <c r="C19" s="9" t="inlineStr"/>
    </row>
  </sheetData>
  <mergeCells count="5">
    <mergeCell ref="B5:D5"/>
    <mergeCell ref="A8:D8"/>
    <mergeCell ref="A3:D3"/>
    <mergeCell ref="B4:D4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INPUT NILAI PESERTA PER KRITERIA</t>
        </is>
      </c>
    </row>
    <row r="2">
      <c r="A2" s="2" t="inlineStr">
        <is>
          <t>Masukkan nilai 0-100 untuk setiap kriteria</t>
        </is>
      </c>
    </row>
    <row r="4">
      <c r="A4" s="3" t="inlineStr">
        <is>
          <t>NILAI PESERTA</t>
        </is>
      </c>
    </row>
    <row r="5">
      <c r="A5" s="4" t="inlineStr">
        <is>
          <t>No</t>
        </is>
      </c>
      <c r="B5" s="4" t="inlineStr">
        <is>
          <t>Nama Peserta</t>
        </is>
      </c>
      <c r="C5" s="4" t="inlineStr">
        <is>
          <t>K1</t>
        </is>
      </c>
      <c r="D5" s="4" t="inlineStr">
        <is>
          <t>K2</t>
        </is>
      </c>
      <c r="E5" s="4" t="inlineStr">
        <is>
          <t>K3</t>
        </is>
      </c>
      <c r="F5" s="4" t="inlineStr">
        <is>
          <t>K4</t>
        </is>
      </c>
      <c r="G5" s="4" t="inlineStr">
        <is>
          <t>K5</t>
        </is>
      </c>
      <c r="H5" s="4" t="inlineStr">
        <is>
          <t>K6</t>
        </is>
      </c>
    </row>
    <row r="6">
      <c r="A6" s="5" t="n">
        <v>1</v>
      </c>
      <c r="B6" s="8">
        <f>'2. Data Peserta'!B10</f>
        <v/>
      </c>
      <c r="C6" s="9" t="n">
        <v>85</v>
      </c>
      <c r="D6" s="9" t="n">
        <v>90</v>
      </c>
      <c r="E6" s="9" t="n">
        <v>88</v>
      </c>
      <c r="F6" s="9" t="n">
        <v>92</v>
      </c>
      <c r="G6" s="9" t="n">
        <v>87</v>
      </c>
      <c r="H6" s="9" t="n">
        <v>85</v>
      </c>
    </row>
    <row r="7">
      <c r="A7" s="5" t="n">
        <v>2</v>
      </c>
      <c r="B7" s="8">
        <f>'2. Data Peserta'!B11</f>
        <v/>
      </c>
      <c r="C7" s="9" t="n">
        <v>78</v>
      </c>
      <c r="D7" s="9" t="n">
        <v>85</v>
      </c>
      <c r="E7" s="9" t="n">
        <v>82</v>
      </c>
      <c r="F7" s="9" t="n">
        <v>88</v>
      </c>
      <c r="G7" s="9" t="n">
        <v>80</v>
      </c>
      <c r="H7" s="9" t="n">
        <v>78</v>
      </c>
    </row>
    <row r="8">
      <c r="A8" s="5" t="n">
        <v>3</v>
      </c>
      <c r="B8" s="8">
        <f>'2. Data Peserta'!B12</f>
        <v/>
      </c>
      <c r="C8" s="9" t="n">
        <v>92</v>
      </c>
      <c r="D8" s="9" t="n">
        <v>88</v>
      </c>
      <c r="E8" s="9" t="n">
        <v>90</v>
      </c>
      <c r="F8" s="9" t="n">
        <v>85</v>
      </c>
      <c r="G8" s="9" t="n">
        <v>88</v>
      </c>
      <c r="H8" s="9" t="n">
        <v>90</v>
      </c>
    </row>
    <row r="9">
      <c r="A9" s="5" t="n">
        <v>4</v>
      </c>
      <c r="B9" s="8">
        <f>'2. Data Peserta'!B13</f>
        <v/>
      </c>
      <c r="C9" s="9" t="n">
        <v>80</v>
      </c>
      <c r="D9" s="9" t="n">
        <v>82</v>
      </c>
      <c r="E9" s="9" t="n">
        <v>85</v>
      </c>
      <c r="F9" s="9" t="n">
        <v>90</v>
      </c>
      <c r="G9" s="9" t="n">
        <v>82</v>
      </c>
      <c r="H9" s="9" t="n">
        <v>80</v>
      </c>
    </row>
    <row r="10">
      <c r="A10" s="5" t="n">
        <v>5</v>
      </c>
      <c r="B10" s="8">
        <f>'2. Data Peserta'!B14</f>
        <v/>
      </c>
      <c r="C10" s="9" t="n">
        <v>88</v>
      </c>
      <c r="D10" s="9" t="n">
        <v>92</v>
      </c>
      <c r="E10" s="9" t="n">
        <v>87</v>
      </c>
      <c r="F10" s="9" t="n">
        <v>80</v>
      </c>
      <c r="G10" s="9" t="n">
        <v>90</v>
      </c>
      <c r="H10" s="9" t="n">
        <v>88</v>
      </c>
    </row>
    <row r="11">
      <c r="A11" s="5" t="n">
        <v>6</v>
      </c>
      <c r="B11" s="8">
        <f>'2. Data Peserta'!B15</f>
        <v/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>
      <c r="A12" s="5" t="n">
        <v>7</v>
      </c>
      <c r="B12" s="8">
        <f>'2. Data Peserta'!B16</f>
        <v/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5" t="n">
        <v>8</v>
      </c>
      <c r="B13" s="8">
        <f>'2. Data Peserta'!B17</f>
        <v/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>
      <c r="A14" s="5" t="n">
        <v>9</v>
      </c>
      <c r="B14" s="8">
        <f>'2. Data Peserta'!B18</f>
        <v/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5">
      <c r="A15" s="5" t="n">
        <v>10</v>
      </c>
      <c r="B15" s="8">
        <f>'2. Data Peserta'!B19</f>
        <v/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</row>
  </sheetData>
  <mergeCells count="3">
    <mergeCell ref="A1:I1"/>
    <mergeCell ref="A4:H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PERHITUNGAN SKOR AKHIR &amp; RANKING</t>
        </is>
      </c>
    </row>
    <row r="2">
      <c r="A2" s="17" t="inlineStr">
        <is>
          <t>Skor Akhir = Sum(Nilai x Bobot)</t>
        </is>
      </c>
    </row>
    <row r="4">
      <c r="A4" s="3" t="inlineStr">
        <is>
          <t>BOBOT KRITERIA (dari Sheet 1)</t>
        </is>
      </c>
    </row>
    <row r="5">
      <c r="A5" s="4" t="inlineStr">
        <is>
          <t>K1</t>
        </is>
      </c>
      <c r="B5" s="4" t="inlineStr">
        <is>
          <t>K2</t>
        </is>
      </c>
      <c r="C5" s="4" t="inlineStr">
        <is>
          <t>K3</t>
        </is>
      </c>
      <c r="D5" s="4" t="inlineStr">
        <is>
          <t>K4</t>
        </is>
      </c>
      <c r="E5" s="4" t="inlineStr">
        <is>
          <t>K5</t>
        </is>
      </c>
      <c r="F5" s="4" t="inlineStr">
        <is>
          <t>K6</t>
        </is>
      </c>
    </row>
    <row r="6">
      <c r="A6" s="11">
        <f>'1. Bobot Kriteria'!H19</f>
        <v/>
      </c>
      <c r="B6" s="11">
        <f>'1. Bobot Kriteria'!H20</f>
        <v/>
      </c>
      <c r="C6" s="11">
        <f>'1. Bobot Kriteria'!H21</f>
        <v/>
      </c>
      <c r="D6" s="11">
        <f>'1. Bobot Kriteria'!H22</f>
        <v/>
      </c>
      <c r="E6" s="11">
        <f>'1. Bobot Kriteria'!H23</f>
        <v/>
      </c>
      <c r="F6" s="11">
        <f>'1. Bobot Kriteria'!H24</f>
        <v/>
      </c>
    </row>
    <row r="8">
      <c r="A8" s="3" t="inlineStr">
        <is>
          <t>PERHITUNGAN SKOR AKHIR</t>
        </is>
      </c>
    </row>
    <row r="9">
      <c r="A9" s="4" t="inlineStr">
        <is>
          <t>No</t>
        </is>
      </c>
      <c r="B9" s="4" t="inlineStr">
        <is>
          <t>Nama Peserta</t>
        </is>
      </c>
      <c r="C9" s="4" t="inlineStr">
        <is>
          <t>K1xW</t>
        </is>
      </c>
      <c r="D9" s="4" t="inlineStr">
        <is>
          <t>K2xW</t>
        </is>
      </c>
      <c r="E9" s="4" t="inlineStr">
        <is>
          <t>K3xW</t>
        </is>
      </c>
      <c r="F9" s="4" t="inlineStr">
        <is>
          <t>K4xW</t>
        </is>
      </c>
      <c r="G9" s="4" t="inlineStr">
        <is>
          <t>K5xW</t>
        </is>
      </c>
      <c r="H9" s="4" t="inlineStr">
        <is>
          <t>K6xW</t>
        </is>
      </c>
      <c r="I9" s="6" t="inlineStr">
        <is>
          <t>Skor Akhir</t>
        </is>
      </c>
      <c r="J9" s="6" t="inlineStr">
        <is>
          <t>Ranking</t>
        </is>
      </c>
    </row>
    <row r="10">
      <c r="A10" s="5" t="n">
        <v>1</v>
      </c>
      <c r="B10" s="8">
        <f>'2. Data Peserta'!B10</f>
        <v/>
      </c>
      <c r="C10" s="10">
        <f>'3. Nilai Peserta'!C6*$A$6</f>
        <v/>
      </c>
      <c r="D10" s="10">
        <f>'3. Nilai Peserta'!D6*$B$6</f>
        <v/>
      </c>
      <c r="E10" s="10">
        <f>'3. Nilai Peserta'!E6*$C$6</f>
        <v/>
      </c>
      <c r="F10" s="10">
        <f>'3. Nilai Peserta'!F6*$D$6</f>
        <v/>
      </c>
      <c r="G10" s="10">
        <f>'3. Nilai Peserta'!G6*$E$6</f>
        <v/>
      </c>
      <c r="H10" s="10">
        <f>'3. Nilai Peserta'!H6*$F$6</f>
        <v/>
      </c>
      <c r="I10" s="18">
        <f>SUM(C10:H10)</f>
        <v/>
      </c>
      <c r="J10" s="19">
        <f>IF(B10="","",RANK(I10,$I$10:$I$19,0))</f>
        <v/>
      </c>
    </row>
    <row r="11">
      <c r="A11" s="5" t="n">
        <v>2</v>
      </c>
      <c r="B11" s="8">
        <f>'2. Data Peserta'!B11</f>
        <v/>
      </c>
      <c r="C11" s="10">
        <f>'3. Nilai Peserta'!C7*$A$6</f>
        <v/>
      </c>
      <c r="D11" s="10">
        <f>'3. Nilai Peserta'!D7*$B$6</f>
        <v/>
      </c>
      <c r="E11" s="10">
        <f>'3. Nilai Peserta'!E7*$C$6</f>
        <v/>
      </c>
      <c r="F11" s="10">
        <f>'3. Nilai Peserta'!F7*$D$6</f>
        <v/>
      </c>
      <c r="G11" s="10">
        <f>'3. Nilai Peserta'!G7*$E$6</f>
        <v/>
      </c>
      <c r="H11" s="10">
        <f>'3. Nilai Peserta'!H7*$F$6</f>
        <v/>
      </c>
      <c r="I11" s="18">
        <f>SUM(C11:H11)</f>
        <v/>
      </c>
      <c r="J11" s="19">
        <f>IF(B11="","",RANK(I11,$I$10:$I$19,0))</f>
        <v/>
      </c>
    </row>
    <row r="12">
      <c r="A12" s="5" t="n">
        <v>3</v>
      </c>
      <c r="B12" s="8">
        <f>'2. Data Peserta'!B12</f>
        <v/>
      </c>
      <c r="C12" s="10">
        <f>'3. Nilai Peserta'!C8*$A$6</f>
        <v/>
      </c>
      <c r="D12" s="10">
        <f>'3. Nilai Peserta'!D8*$B$6</f>
        <v/>
      </c>
      <c r="E12" s="10">
        <f>'3. Nilai Peserta'!E8*$C$6</f>
        <v/>
      </c>
      <c r="F12" s="10">
        <f>'3. Nilai Peserta'!F8*$D$6</f>
        <v/>
      </c>
      <c r="G12" s="10">
        <f>'3. Nilai Peserta'!G8*$E$6</f>
        <v/>
      </c>
      <c r="H12" s="10">
        <f>'3. Nilai Peserta'!H8*$F$6</f>
        <v/>
      </c>
      <c r="I12" s="18">
        <f>SUM(C12:H12)</f>
        <v/>
      </c>
      <c r="J12" s="19">
        <f>IF(B12="","",RANK(I12,$I$10:$I$19,0))</f>
        <v/>
      </c>
    </row>
    <row r="13">
      <c r="A13" s="5" t="n">
        <v>4</v>
      </c>
      <c r="B13" s="8">
        <f>'2. Data Peserta'!B13</f>
        <v/>
      </c>
      <c r="C13" s="10">
        <f>'3. Nilai Peserta'!C9*$A$6</f>
        <v/>
      </c>
      <c r="D13" s="10">
        <f>'3. Nilai Peserta'!D9*$B$6</f>
        <v/>
      </c>
      <c r="E13" s="10">
        <f>'3. Nilai Peserta'!E9*$C$6</f>
        <v/>
      </c>
      <c r="F13" s="10">
        <f>'3. Nilai Peserta'!F9*$D$6</f>
        <v/>
      </c>
      <c r="G13" s="10">
        <f>'3. Nilai Peserta'!G9*$E$6</f>
        <v/>
      </c>
      <c r="H13" s="10">
        <f>'3. Nilai Peserta'!H9*$F$6</f>
        <v/>
      </c>
      <c r="I13" s="18">
        <f>SUM(C13:H13)</f>
        <v/>
      </c>
      <c r="J13" s="19">
        <f>IF(B13="","",RANK(I13,$I$10:$I$19,0))</f>
        <v/>
      </c>
    </row>
    <row r="14">
      <c r="A14" s="5" t="n">
        <v>5</v>
      </c>
      <c r="B14" s="8">
        <f>'2. Data Peserta'!B14</f>
        <v/>
      </c>
      <c r="C14" s="10">
        <f>'3. Nilai Peserta'!C10*$A$6</f>
        <v/>
      </c>
      <c r="D14" s="10">
        <f>'3. Nilai Peserta'!D10*$B$6</f>
        <v/>
      </c>
      <c r="E14" s="10">
        <f>'3. Nilai Peserta'!E10*$C$6</f>
        <v/>
      </c>
      <c r="F14" s="10">
        <f>'3. Nilai Peserta'!F10*$D$6</f>
        <v/>
      </c>
      <c r="G14" s="10">
        <f>'3. Nilai Peserta'!G10*$E$6</f>
        <v/>
      </c>
      <c r="H14" s="10">
        <f>'3. Nilai Peserta'!H10*$F$6</f>
        <v/>
      </c>
      <c r="I14" s="18">
        <f>SUM(C14:H14)</f>
        <v/>
      </c>
      <c r="J14" s="19">
        <f>IF(B14="","",RANK(I14,$I$10:$I$19,0))</f>
        <v/>
      </c>
    </row>
    <row r="15">
      <c r="A15" s="5" t="n">
        <v>6</v>
      </c>
      <c r="B15" s="8">
        <f>'2. Data Peserta'!B15</f>
        <v/>
      </c>
      <c r="C15" s="10">
        <f>'3. Nilai Peserta'!C11*$A$6</f>
        <v/>
      </c>
      <c r="D15" s="10">
        <f>'3. Nilai Peserta'!D11*$B$6</f>
        <v/>
      </c>
      <c r="E15" s="10">
        <f>'3. Nilai Peserta'!E11*$C$6</f>
        <v/>
      </c>
      <c r="F15" s="10">
        <f>'3. Nilai Peserta'!F11*$D$6</f>
        <v/>
      </c>
      <c r="G15" s="10">
        <f>'3. Nilai Peserta'!G11*$E$6</f>
        <v/>
      </c>
      <c r="H15" s="10">
        <f>'3. Nilai Peserta'!H11*$F$6</f>
        <v/>
      </c>
      <c r="I15" s="18">
        <f>SUM(C15:H15)</f>
        <v/>
      </c>
      <c r="J15" s="19">
        <f>IF(B15="","",RANK(I15,$I$10:$I$19,0))</f>
        <v/>
      </c>
    </row>
    <row r="16">
      <c r="A16" s="5" t="n">
        <v>7</v>
      </c>
      <c r="B16" s="8">
        <f>'2. Data Peserta'!B16</f>
        <v/>
      </c>
      <c r="C16" s="10">
        <f>'3. Nilai Peserta'!C12*$A$6</f>
        <v/>
      </c>
      <c r="D16" s="10">
        <f>'3. Nilai Peserta'!D12*$B$6</f>
        <v/>
      </c>
      <c r="E16" s="10">
        <f>'3. Nilai Peserta'!E12*$C$6</f>
        <v/>
      </c>
      <c r="F16" s="10">
        <f>'3. Nilai Peserta'!F12*$D$6</f>
        <v/>
      </c>
      <c r="G16" s="10">
        <f>'3. Nilai Peserta'!G12*$E$6</f>
        <v/>
      </c>
      <c r="H16" s="10">
        <f>'3. Nilai Peserta'!H12*$F$6</f>
        <v/>
      </c>
      <c r="I16" s="18">
        <f>SUM(C16:H16)</f>
        <v/>
      </c>
      <c r="J16" s="19">
        <f>IF(B16="","",RANK(I16,$I$10:$I$19,0))</f>
        <v/>
      </c>
    </row>
    <row r="17">
      <c r="A17" s="5" t="n">
        <v>8</v>
      </c>
      <c r="B17" s="8">
        <f>'2. Data Peserta'!B17</f>
        <v/>
      </c>
      <c r="C17" s="10">
        <f>'3. Nilai Peserta'!C13*$A$6</f>
        <v/>
      </c>
      <c r="D17" s="10">
        <f>'3. Nilai Peserta'!D13*$B$6</f>
        <v/>
      </c>
      <c r="E17" s="10">
        <f>'3. Nilai Peserta'!E13*$C$6</f>
        <v/>
      </c>
      <c r="F17" s="10">
        <f>'3. Nilai Peserta'!F13*$D$6</f>
        <v/>
      </c>
      <c r="G17" s="10">
        <f>'3. Nilai Peserta'!G13*$E$6</f>
        <v/>
      </c>
      <c r="H17" s="10">
        <f>'3. Nilai Peserta'!H13*$F$6</f>
        <v/>
      </c>
      <c r="I17" s="18">
        <f>SUM(C17:H17)</f>
        <v/>
      </c>
      <c r="J17" s="19">
        <f>IF(B17="","",RANK(I17,$I$10:$I$19,0))</f>
        <v/>
      </c>
    </row>
    <row r="18">
      <c r="A18" s="5" t="n">
        <v>9</v>
      </c>
      <c r="B18" s="8">
        <f>'2. Data Peserta'!B18</f>
        <v/>
      </c>
      <c r="C18" s="10">
        <f>'3. Nilai Peserta'!C14*$A$6</f>
        <v/>
      </c>
      <c r="D18" s="10">
        <f>'3. Nilai Peserta'!D14*$B$6</f>
        <v/>
      </c>
      <c r="E18" s="10">
        <f>'3. Nilai Peserta'!E14*$C$6</f>
        <v/>
      </c>
      <c r="F18" s="10">
        <f>'3. Nilai Peserta'!F14*$D$6</f>
        <v/>
      </c>
      <c r="G18" s="10">
        <f>'3. Nilai Peserta'!G14*$E$6</f>
        <v/>
      </c>
      <c r="H18" s="10">
        <f>'3. Nilai Peserta'!H14*$F$6</f>
        <v/>
      </c>
      <c r="I18" s="18">
        <f>SUM(C18:H18)</f>
        <v/>
      </c>
      <c r="J18" s="19">
        <f>IF(B18="","",RANK(I18,$I$10:$I$19,0))</f>
        <v/>
      </c>
    </row>
    <row r="19">
      <c r="A19" s="5" t="n">
        <v>10</v>
      </c>
      <c r="B19" s="8">
        <f>'2. Data Peserta'!B19</f>
        <v/>
      </c>
      <c r="C19" s="10">
        <f>'3. Nilai Peserta'!C15*$A$6</f>
        <v/>
      </c>
      <c r="D19" s="10">
        <f>'3. Nilai Peserta'!D15*$B$6</f>
        <v/>
      </c>
      <c r="E19" s="10">
        <f>'3. Nilai Peserta'!E15*$C$6</f>
        <v/>
      </c>
      <c r="F19" s="10">
        <f>'3. Nilai Peserta'!F15*$D$6</f>
        <v/>
      </c>
      <c r="G19" s="10">
        <f>'3. Nilai Peserta'!G15*$E$6</f>
        <v/>
      </c>
      <c r="H19" s="10">
        <f>'3. Nilai Peserta'!H15*$F$6</f>
        <v/>
      </c>
      <c r="I19" s="18">
        <f>SUM(C19:H19)</f>
        <v/>
      </c>
      <c r="J19" s="19">
        <f>IF(B19="","",RANK(I19,$I$10:$I$19,0))</f>
        <v/>
      </c>
    </row>
    <row r="22">
      <c r="A22" s="3" t="inlineStr">
        <is>
          <t>HASIL RANKING FINAL</t>
        </is>
      </c>
    </row>
    <row r="23">
      <c r="A23" s="6" t="inlineStr">
        <is>
          <t>Rank</t>
        </is>
      </c>
      <c r="B23" s="6" t="inlineStr">
        <is>
          <t>Nama Peserta</t>
        </is>
      </c>
      <c r="C23" s="6" t="inlineStr">
        <is>
          <t>Skor</t>
        </is>
      </c>
      <c r="D23" s="6" t="inlineStr">
        <is>
          <t>Status</t>
        </is>
      </c>
    </row>
    <row r="24">
      <c r="A24" s="20" t="n">
        <v>1</v>
      </c>
      <c r="B24" s="5">
        <f>IFERROR(INDEX(B10:B19,MATCH(1,J10:J19,0)),"")</f>
        <v/>
      </c>
      <c r="C24" s="21">
        <f>IFERROR(INDEX(I10:I19,MATCH(1,J10:J19,0)),"")</f>
        <v/>
      </c>
      <c r="D24" s="5">
        <f>IF(A24&lt;="'2. Data Peserta'!B6","LOLOS","TIDAK LOLOS")</f>
        <v/>
      </c>
    </row>
    <row r="25">
      <c r="A25" s="20" t="n">
        <v>2</v>
      </c>
      <c r="B25" s="5">
        <f>IFERROR(INDEX(B10:B19,MATCH(2,J10:J19,0)),"")</f>
        <v/>
      </c>
      <c r="C25" s="21">
        <f>IFERROR(INDEX(I10:I19,MATCH(2,J10:J19,0)),"")</f>
        <v/>
      </c>
      <c r="D25" s="5">
        <f>IF(A25&lt;="'2. Data Peserta'!B6","LOLOS","TIDAK LOLOS")</f>
        <v/>
      </c>
    </row>
    <row r="26">
      <c r="A26" s="20" t="n">
        <v>3</v>
      </c>
      <c r="B26" s="5">
        <f>IFERROR(INDEX(B10:B19,MATCH(3,J10:J19,0)),"")</f>
        <v/>
      </c>
      <c r="C26" s="21">
        <f>IFERROR(INDEX(I10:I19,MATCH(3,J10:J19,0)),"")</f>
        <v/>
      </c>
      <c r="D26" s="5">
        <f>IF(A26&lt;="'2. Data Peserta'!B6","LOLOS","TIDAK LOLOS")</f>
        <v/>
      </c>
    </row>
    <row r="27">
      <c r="A27" s="20" t="n">
        <v>4</v>
      </c>
      <c r="B27" s="5">
        <f>IFERROR(INDEX(B10:B19,MATCH(4,J10:J19,0)),"")</f>
        <v/>
      </c>
      <c r="C27" s="21">
        <f>IFERROR(INDEX(I10:I19,MATCH(4,J10:J19,0)),"")</f>
        <v/>
      </c>
      <c r="D27" s="5">
        <f>IF(A27&lt;="'2. Data Peserta'!B6","LOLOS","TIDAK LOLOS")</f>
        <v/>
      </c>
    </row>
    <row r="28">
      <c r="A28" s="20" t="n">
        <v>5</v>
      </c>
      <c r="B28" s="5">
        <f>IFERROR(INDEX(B10:B19,MATCH(5,J10:J19,0)),"")</f>
        <v/>
      </c>
      <c r="C28" s="21">
        <f>IFERROR(INDEX(I10:I19,MATCH(5,J10:J19,0)),"")</f>
        <v/>
      </c>
      <c r="D28" s="5">
        <f>IF(A28&lt;="'2. Data Peserta'!B6","LOLOS","TIDAK LOLOS")</f>
        <v/>
      </c>
    </row>
    <row r="29">
      <c r="A29" s="20" t="n">
        <v>6</v>
      </c>
      <c r="B29" s="5">
        <f>IFERROR(INDEX(B10:B19,MATCH(6,J10:J19,0)),"")</f>
        <v/>
      </c>
      <c r="C29" s="21">
        <f>IFERROR(INDEX(I10:I19,MATCH(6,J10:J19,0)),"")</f>
        <v/>
      </c>
      <c r="D29" s="5">
        <f>IF(A29&lt;="'2. Data Peserta'!B6","LOLOS","TIDAK LOLOS")</f>
        <v/>
      </c>
    </row>
    <row r="30">
      <c r="A30" s="20" t="n">
        <v>7</v>
      </c>
      <c r="B30" s="5">
        <f>IFERROR(INDEX(B10:B19,MATCH(7,J10:J19,0)),"")</f>
        <v/>
      </c>
      <c r="C30" s="21">
        <f>IFERROR(INDEX(I10:I19,MATCH(7,J10:J19,0)),"")</f>
        <v/>
      </c>
      <c r="D30" s="5">
        <f>IF(A30&lt;="'2. Data Peserta'!B6","LOLOS","TIDAK LOLOS")</f>
        <v/>
      </c>
    </row>
    <row r="31">
      <c r="A31" s="20" t="n">
        <v>8</v>
      </c>
      <c r="B31" s="5">
        <f>IFERROR(INDEX(B10:B19,MATCH(8,J10:J19,0)),"")</f>
        <v/>
      </c>
      <c r="C31" s="21">
        <f>IFERROR(INDEX(I10:I19,MATCH(8,J10:J19,0)),"")</f>
        <v/>
      </c>
      <c r="D31" s="5">
        <f>IF(A31&lt;="'2. Data Peserta'!B6","LOLOS","TIDAK LOLOS")</f>
        <v/>
      </c>
    </row>
    <row r="32">
      <c r="A32" s="20" t="n">
        <v>9</v>
      </c>
      <c r="B32" s="5">
        <f>IFERROR(INDEX(B10:B19,MATCH(9,J10:J19,0)),"")</f>
        <v/>
      </c>
      <c r="C32" s="21">
        <f>IFERROR(INDEX(I10:I19,MATCH(9,J10:J19,0)),"")</f>
        <v/>
      </c>
      <c r="D32" s="5">
        <f>IF(A32&lt;="'2. Data Peserta'!B6","LOLOS","TIDAK LOLOS")</f>
        <v/>
      </c>
    </row>
    <row r="33">
      <c r="A33" s="20" t="n">
        <v>10</v>
      </c>
      <c r="B33" s="5">
        <f>IFERROR(INDEX(B10:B19,MATCH(10,J10:J19,0)),"")</f>
        <v/>
      </c>
      <c r="C33" s="21">
        <f>IFERROR(INDEX(I10:I19,MATCH(10,J10:J19,0)),"")</f>
        <v/>
      </c>
      <c r="D33" s="5">
        <f>IF(A33&lt;="'2. Data Peserta'!B6","LOLOS","TIDAK LOLOS")</f>
        <v/>
      </c>
    </row>
  </sheetData>
  <mergeCells count="5">
    <mergeCell ref="A2:L2"/>
    <mergeCell ref="A8:J8"/>
    <mergeCell ref="A1:L1"/>
    <mergeCell ref="A4:G4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2" t="inlineStr">
        <is>
          <t>TABEL REFERENSI</t>
        </is>
      </c>
    </row>
    <row r="3">
      <c r="A3" s="3" t="inlineStr">
        <is>
          <t>SKALA BOBOT KRITERIA (1-10)</t>
        </is>
      </c>
    </row>
    <row r="4">
      <c r="A4" s="4" t="inlineStr">
        <is>
          <t>Skala</t>
        </is>
      </c>
      <c r="B4" s="4" t="inlineStr">
        <is>
          <t>Keterangan</t>
        </is>
      </c>
      <c r="C4" s="4" t="inlineStr">
        <is>
          <t>TFN (l)</t>
        </is>
      </c>
      <c r="D4" s="4" t="inlineStr">
        <is>
          <t>TFN (m)</t>
        </is>
      </c>
      <c r="E4" s="4" t="inlineStr">
        <is>
          <t>TFN (u)</t>
        </is>
      </c>
    </row>
    <row r="5">
      <c r="A5" s="5" t="n">
        <v>1</v>
      </c>
      <c r="B5" s="5" t="inlineStr">
        <is>
          <t>Sangat Tidak Penting</t>
        </is>
      </c>
      <c r="C5" s="5" t="n">
        <v>0</v>
      </c>
      <c r="D5" s="5" t="n">
        <v>0.1</v>
      </c>
      <c r="E5" s="5" t="n">
        <v>0.2</v>
      </c>
    </row>
    <row r="6">
      <c r="A6" s="5" t="n">
        <v>2</v>
      </c>
      <c r="B6" s="5" t="inlineStr">
        <is>
          <t>Tidak Penting</t>
        </is>
      </c>
      <c r="C6" s="5" t="n">
        <v>0.1</v>
      </c>
      <c r="D6" s="5" t="n">
        <v>0.2</v>
      </c>
      <c r="E6" s="5" t="n">
        <v>0.3</v>
      </c>
    </row>
    <row r="7">
      <c r="A7" s="5" t="n">
        <v>3</v>
      </c>
      <c r="B7" s="5" t="inlineStr">
        <is>
          <t>Agak Tidak Penting</t>
        </is>
      </c>
      <c r="C7" s="5" t="n">
        <v>0.2</v>
      </c>
      <c r="D7" s="5" t="n">
        <v>0.3</v>
      </c>
      <c r="E7" s="5" t="n">
        <v>0.4</v>
      </c>
    </row>
    <row r="8">
      <c r="A8" s="5" t="n">
        <v>4</v>
      </c>
      <c r="B8" s="5" t="inlineStr">
        <is>
          <t>Sedikit Tidak Penting</t>
        </is>
      </c>
      <c r="C8" s="5" t="n">
        <v>0.3</v>
      </c>
      <c r="D8" s="5" t="n">
        <v>0.4</v>
      </c>
      <c r="E8" s="5" t="n">
        <v>0.5</v>
      </c>
    </row>
    <row r="9">
      <c r="A9" s="5" t="n">
        <v>5</v>
      </c>
      <c r="B9" s="5" t="inlineStr">
        <is>
          <t>Cukup Penting</t>
        </is>
      </c>
      <c r="C9" s="5" t="n">
        <v>0.4</v>
      </c>
      <c r="D9" s="5" t="n">
        <v>0.5</v>
      </c>
      <c r="E9" s="5" t="n">
        <v>0.6</v>
      </c>
    </row>
    <row r="10">
      <c r="A10" s="5" t="n">
        <v>6</v>
      </c>
      <c r="B10" s="5" t="inlineStr">
        <is>
          <t>Agak Penting</t>
        </is>
      </c>
      <c r="C10" s="5" t="n">
        <v>0.5</v>
      </c>
      <c r="D10" s="5" t="n">
        <v>0.6</v>
      </c>
      <c r="E10" s="5" t="n">
        <v>0.7</v>
      </c>
    </row>
    <row r="11">
      <c r="A11" s="5" t="n">
        <v>7</v>
      </c>
      <c r="B11" s="5" t="inlineStr">
        <is>
          <t>Penting</t>
        </is>
      </c>
      <c r="C11" s="5" t="n">
        <v>0.6</v>
      </c>
      <c r="D11" s="5" t="n">
        <v>0.7</v>
      </c>
      <c r="E11" s="5" t="n">
        <v>0.8</v>
      </c>
    </row>
    <row r="12">
      <c r="A12" s="5" t="n">
        <v>8</v>
      </c>
      <c r="B12" s="5" t="inlineStr">
        <is>
          <t>Sangat Penting</t>
        </is>
      </c>
      <c r="C12" s="5" t="n">
        <v>0.7</v>
      </c>
      <c r="D12" s="5" t="n">
        <v>0.8</v>
      </c>
      <c r="E12" s="5" t="n">
        <v>0.9</v>
      </c>
    </row>
    <row r="13">
      <c r="A13" s="5" t="n">
        <v>9</v>
      </c>
      <c r="B13" s="5" t="inlineStr">
        <is>
          <t>Amat Sangat Penting</t>
        </is>
      </c>
      <c r="C13" s="5" t="n">
        <v>0.8</v>
      </c>
      <c r="D13" s="5" t="n">
        <v>0.9</v>
      </c>
      <c r="E13" s="5" t="n">
        <v>1</v>
      </c>
    </row>
    <row r="14">
      <c r="A14" s="5" t="n">
        <v>10</v>
      </c>
      <c r="B14" s="5" t="inlineStr">
        <is>
          <t>Mutlak Penting</t>
        </is>
      </c>
      <c r="C14" s="5" t="n">
        <v>0.9</v>
      </c>
      <c r="D14" s="5" t="n">
        <v>1</v>
      </c>
      <c r="E14" s="5" t="n">
        <v>1</v>
      </c>
    </row>
    <row r="16">
      <c r="A16" s="3" t="inlineStr">
        <is>
          <t>RUMUS FUZZY AHP</t>
        </is>
      </c>
    </row>
    <row r="17">
      <c r="A17" t="inlineStr">
        <is>
          <t>1. Konversi ke TFN</t>
        </is>
      </c>
      <c r="B17" t="inlineStr">
        <is>
          <t>l = (skala-1)*0.1, m = skala*0.1, u = MIN(1,(skala+1)*0.1)</t>
        </is>
      </c>
    </row>
    <row r="18">
      <c r="A18" t="inlineStr">
        <is>
          <t>2. Defuzzifikasi</t>
        </is>
      </c>
      <c r="B18" t="inlineStr">
        <is>
          <t>D = (l + m + u) / 3 (Center of Area Method)</t>
        </is>
      </c>
    </row>
    <row r="19">
      <c r="A19" t="inlineStr">
        <is>
          <t>3. Normalisasi</t>
        </is>
      </c>
      <c r="B19" t="inlineStr">
        <is>
          <t>W = D / Sum(D)</t>
        </is>
      </c>
    </row>
    <row r="20">
      <c r="A20" t="inlineStr">
        <is>
          <t>4. Skor Akhir</t>
        </is>
      </c>
      <c r="B20" t="inlineStr">
        <is>
          <t>S = Sum(Nilai x Bobot)</t>
        </is>
      </c>
    </row>
    <row r="21">
      <c r="A21" t="inlineStr">
        <is>
          <t>5. Ranking</t>
        </is>
      </c>
      <c r="B21" t="inlineStr">
        <is>
          <t>Berdasarkan Skor Akhir (descending)</t>
        </is>
      </c>
    </row>
  </sheetData>
  <mergeCells count="8">
    <mergeCell ref="B21:F21"/>
    <mergeCell ref="A16:F16"/>
    <mergeCell ref="B20:F20"/>
    <mergeCell ref="B19:F19"/>
    <mergeCell ref="A1:E1"/>
    <mergeCell ref="A3:F3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2026-02-04T13:33:11Z</dcterms:created>
  <dcterms:modified xsi:type="dcterms:W3CDTF">2026-02-04T13:33:11Z</dcterms:modified>
</cp:coreProperties>
</file>