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" sheetId="1" state="visible" r:id="rId1"/>
    <sheet name="Penilai 1" sheetId="2" state="visible" r:id="rId2"/>
    <sheet name="Penilai 2" sheetId="3" state="visible" r:id="rId3"/>
    <sheet name="Penilai 3" sheetId="4" state="visible" r:id="rId4"/>
    <sheet name="Rekap Nilai" sheetId="5" state="visible" r:id="rId5"/>
    <sheet name="Fuzzy AHP" sheetId="6" state="visible" r:id="rId6"/>
    <sheet name="Hasil &amp; Rank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&quot;%&quot;"/>
  </numFmts>
  <fonts count="1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  <sz val="11"/>
    </font>
    <font>
      <sz val="10"/>
    </font>
    <font>
      <color rgb="000000FF"/>
      <sz val="11"/>
    </font>
    <font>
      <b val="1"/>
      <color rgb="00FFFFFF"/>
      <sz val="14"/>
    </font>
    <font>
      <b val="1"/>
      <sz val="14"/>
    </font>
    <font>
      <b val="1"/>
      <color rgb="00FFFFFF"/>
      <sz val="12"/>
    </font>
    <font>
      <i val="1"/>
      <sz val="9"/>
    </font>
    <font>
      <b val="1"/>
      <color rgb="00000000"/>
      <sz val="10"/>
    </font>
    <font>
      <b val="1"/>
    </font>
    <font>
      <b val="1"/>
      <sz val="11"/>
    </font>
    <font>
      <i val="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DCE4"/>
        <bgColor rgb="00D6DCE4"/>
      </patternFill>
    </fill>
    <fill>
      <patternFill patternType="solid">
        <fgColor rgb="00FFFFCC"/>
        <bgColor rgb="00FFFFCC"/>
      </patternFill>
    </fill>
    <fill>
      <patternFill patternType="solid">
        <fgColor rgb="003B82F6"/>
        <bgColor rgb="003B82F6"/>
      </patternFill>
    </fill>
    <fill>
      <patternFill patternType="solid">
        <fgColor rgb="00DBEAFE"/>
        <bgColor rgb="00DBEAFE"/>
      </patternFill>
    </fill>
    <fill>
      <patternFill patternType="solid">
        <fgColor rgb="0010B981"/>
        <bgColor rgb="0010B981"/>
      </patternFill>
    </fill>
    <fill>
      <patternFill patternType="solid">
        <fgColor rgb="00D1FAE5"/>
        <bgColor rgb="00D1FAE5"/>
      </patternFill>
    </fill>
    <fill>
      <patternFill patternType="solid">
        <fgColor rgb="00EF4444"/>
        <bgColor rgb="00EF4444"/>
      </patternFill>
    </fill>
    <fill>
      <patternFill patternType="solid">
        <fgColor rgb="00FEE2E2"/>
        <bgColor rgb="00FEE2E2"/>
      </patternFill>
    </fill>
    <fill>
      <patternFill patternType="solid">
        <fgColor rgb="002563EB"/>
        <bgColor rgb="002563EB"/>
      </patternFill>
    </fill>
    <fill>
      <patternFill patternType="solid">
        <fgColor rgb="009333EA"/>
        <bgColor rgb="009333EA"/>
      </patternFill>
    </fill>
    <fill>
      <patternFill patternType="solid">
        <fgColor rgb="00E9D5FF"/>
        <bgColor rgb="00E9D5FF"/>
      </patternFill>
    </fill>
    <fill>
      <patternFill patternType="solid">
        <fgColor rgb="00D97706"/>
        <bgColor rgb="00D97706"/>
      </patternFill>
    </fill>
    <fill>
      <patternFill patternType="solid">
        <fgColor rgb="00FEF3C7"/>
        <bgColor rgb="00FEF3C7"/>
      </patternFill>
    </fill>
    <fill>
      <patternFill patternType="solid">
        <fgColor rgb="00FFC000"/>
        <bgColor rgb="00FFC000"/>
      </patternFill>
    </fill>
    <fill>
      <patternFill patternType="solid">
        <fgColor rgb="000D9488"/>
        <bgColor rgb="000D9488"/>
      </patternFill>
    </fill>
    <fill>
      <patternFill patternType="solid">
        <fgColor rgb="00CCFBF1"/>
        <bgColor rgb="00CCFBF1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7" borderId="0" pivotButton="0" quotePrefix="0" xfId="0"/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6" fillId="9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11" borderId="0" pivotButton="0" quotePrefix="0" xfId="0"/>
    <xf numFmtId="0" fontId="3" fillId="11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8" fillId="12" borderId="0" pivotButton="0" quotePrefix="0" xfId="0"/>
    <xf numFmtId="0" fontId="9" fillId="0" borderId="0" pivotButton="0" quotePrefix="0" xfId="0"/>
    <xf numFmtId="0" fontId="3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2" fontId="4" fillId="13" borderId="1" applyAlignment="1" pivotButton="0" quotePrefix="0" xfId="0">
      <alignment horizontal="center" vertical="center" wrapText="1"/>
    </xf>
    <xf numFmtId="0" fontId="8" fillId="14" borderId="0" pivotButton="0" quotePrefix="0" xfId="0"/>
    <xf numFmtId="0" fontId="3" fillId="14" borderId="1" applyAlignment="1" pivotButton="0" quotePrefix="0" xfId="0">
      <alignment horizontal="center" vertical="center" wrapText="1"/>
    </xf>
    <xf numFmtId="2" fontId="4" fillId="15" borderId="1" applyAlignment="1" pivotButton="0" quotePrefix="0" xfId="0">
      <alignment horizontal="center" vertical="center" wrapText="1"/>
    </xf>
    <xf numFmtId="2" fontId="4" fillId="16" borderId="1" applyAlignment="1" pivotButton="0" quotePrefix="0" xfId="0">
      <alignment horizontal="center" vertical="center" wrapText="1"/>
    </xf>
    <xf numFmtId="0" fontId="12" fillId="0" borderId="0" pivotButton="0" quotePrefix="0" xfId="0"/>
    <xf numFmtId="164" fontId="4" fillId="15" borderId="1" applyAlignment="1" pivotButton="0" quotePrefix="0" xfId="0">
      <alignment horizontal="center" vertical="center" wrapText="1"/>
    </xf>
    <xf numFmtId="0" fontId="8" fillId="17" borderId="0" pivotButton="0" quotePrefix="0" xfId="0"/>
    <xf numFmtId="0" fontId="3" fillId="17" borderId="1" applyAlignment="1" pivotButton="0" quotePrefix="0" xfId="0">
      <alignment horizontal="center" vertical="center" wrapText="1"/>
    </xf>
    <xf numFmtId="164" fontId="4" fillId="18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1" fillId="0" borderId="0" pivotButton="0" quotePrefix="0" xfId="0"/>
    <xf numFmtId="2" fontId="4" fillId="19" borderId="1" applyAlignment="1" pivotButton="0" quotePrefix="0" xfId="0">
      <alignment horizontal="center" vertical="center" wrapText="1"/>
    </xf>
    <xf numFmtId="2" fontId="11" fillId="20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</cols>
  <sheetData>
    <row r="1">
      <c r="A1" s="1" t="inlineStr">
        <is>
          <t>FUZZY AHP - 3 PENILAI</t>
        </is>
      </c>
    </row>
    <row r="3">
      <c r="A3" s="2" t="inlineStr">
        <is>
          <t>BOBOT KRITERIA</t>
        </is>
      </c>
    </row>
    <row r="4">
      <c r="A4" s="3" t="inlineStr">
        <is>
          <t>Kode</t>
        </is>
      </c>
      <c r="B4" s="3" t="inlineStr">
        <is>
          <t>Kriteria</t>
        </is>
      </c>
      <c r="C4" s="3" t="inlineStr">
        <is>
          <t>Bobot</t>
        </is>
      </c>
    </row>
    <row r="5">
      <c r="A5" s="4" t="inlineStr">
        <is>
          <t>K1</t>
        </is>
      </c>
      <c r="B5" s="5" t="inlineStr">
        <is>
          <t>Status Keaktifan</t>
        </is>
      </c>
      <c r="C5" s="6" t="n">
        <v>1</v>
      </c>
    </row>
    <row r="6">
      <c r="A6" s="4" t="inlineStr">
        <is>
          <t>K2</t>
        </is>
      </c>
      <c r="B6" s="5" t="inlineStr">
        <is>
          <t>Pencapaian SKU</t>
        </is>
      </c>
      <c r="C6" s="6" t="n">
        <v>2</v>
      </c>
    </row>
    <row r="7">
      <c r="A7" s="4" t="inlineStr">
        <is>
          <t>K3</t>
        </is>
      </c>
      <c r="B7" s="5" t="inlineStr">
        <is>
          <t>Pencapaian SPG</t>
        </is>
      </c>
      <c r="C7" s="6" t="n">
        <v>2</v>
      </c>
    </row>
    <row r="8">
      <c r="A8" s="4" t="inlineStr">
        <is>
          <t>K4</t>
        </is>
      </c>
      <c r="B8" s="5" t="inlineStr">
        <is>
          <t>Kesehatan Jasmani</t>
        </is>
      </c>
      <c r="C8" s="6" t="n">
        <v>3</v>
      </c>
    </row>
    <row r="9">
      <c r="A9" s="4" t="inlineStr">
        <is>
          <t>K5</t>
        </is>
      </c>
      <c r="B9" s="5" t="inlineStr">
        <is>
          <t>Tes Wawancara</t>
        </is>
      </c>
      <c r="C9" s="6" t="n">
        <v>4</v>
      </c>
    </row>
    <row r="10">
      <c r="A10" s="4" t="inlineStr">
        <is>
          <t>K6</t>
        </is>
      </c>
      <c r="B10" s="5" t="inlineStr">
        <is>
          <t>Tes Pilihan Ganda</t>
        </is>
      </c>
      <c r="C10" s="6" t="n">
        <v>5</v>
      </c>
    </row>
    <row r="12">
      <c r="A12" s="2" t="inlineStr">
        <is>
          <t>PESERTA</t>
        </is>
      </c>
    </row>
    <row r="13">
      <c r="A13" s="3" t="inlineStr">
        <is>
          <t>No</t>
        </is>
      </c>
      <c r="B13" s="3" t="inlineStr">
        <is>
          <t>Nama</t>
        </is>
      </c>
    </row>
    <row r="14">
      <c r="A14" s="5" t="n">
        <v>1</v>
      </c>
      <c r="B14" s="6" t="inlineStr">
        <is>
          <t>David Kulian</t>
        </is>
      </c>
    </row>
    <row r="15">
      <c r="A15" s="5" t="n">
        <v>2</v>
      </c>
      <c r="B15" s="6" t="inlineStr">
        <is>
          <t>Siti Aminah</t>
        </is>
      </c>
    </row>
    <row r="16">
      <c r="A16" s="5" t="n">
        <v>3</v>
      </c>
      <c r="B16" s="6" t="inlineStr">
        <is>
          <t>Budi Santoso</t>
        </is>
      </c>
    </row>
    <row r="17">
      <c r="A17" s="5" t="n">
        <v>4</v>
      </c>
      <c r="B17" s="6" t="inlineStr">
        <is>
          <t>Dewi Lestari</t>
        </is>
      </c>
    </row>
    <row r="18">
      <c r="A18" s="5" t="n">
        <v>5</v>
      </c>
      <c r="B18" s="6" t="inlineStr">
        <is>
          <t>Ahmad Fauzi</t>
        </is>
      </c>
    </row>
    <row r="19">
      <c r="A19" s="5" t="n">
        <v>6</v>
      </c>
      <c r="B19" s="6" t="inlineStr">
        <is>
          <t>Rina Wati</t>
        </is>
      </c>
    </row>
    <row r="20">
      <c r="A20" s="5" t="n">
        <v>7</v>
      </c>
      <c r="B20" s="6" t="inlineStr">
        <is>
          <t>Joko Susilo</t>
        </is>
      </c>
    </row>
    <row r="21">
      <c r="A21" s="5" t="n">
        <v>8</v>
      </c>
      <c r="B21" s="6" t="inlineStr">
        <is>
          <t>Maya Sari</t>
        </is>
      </c>
    </row>
    <row r="22">
      <c r="A22" s="5" t="n">
        <v>9</v>
      </c>
      <c r="B22" s="6" t="inlineStr">
        <is>
          <t>Andi Pratama</t>
        </is>
      </c>
    </row>
    <row r="23">
      <c r="A23" s="5" t="n">
        <v>10</v>
      </c>
      <c r="B23" s="6" t="inlineStr">
        <is>
          <t>Lina Marlina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</cols>
  <sheetData>
    <row r="1">
      <c r="A1" s="7" t="inlineStr">
        <is>
          <t>INPUT NILAI PENILAI 1 (K1, K2)</t>
        </is>
      </c>
    </row>
    <row r="3">
      <c r="A3" s="8" t="inlineStr">
        <is>
          <t>No</t>
        </is>
      </c>
      <c r="B3" s="8" t="inlineStr">
        <is>
          <t>Nama</t>
        </is>
      </c>
      <c r="C3" s="8" t="inlineStr">
        <is>
          <t>K1</t>
        </is>
      </c>
      <c r="D3" s="8" t="inlineStr">
        <is>
          <t>K2</t>
        </is>
      </c>
    </row>
    <row r="4">
      <c r="A4" s="5" t="n">
        <v>1</v>
      </c>
      <c r="B4" s="9">
        <f>'Input'!B14</f>
        <v/>
      </c>
      <c r="C4" s="6" t="n">
        <v>85</v>
      </c>
      <c r="D4" s="6" t="n">
        <v>78</v>
      </c>
    </row>
    <row r="5">
      <c r="A5" s="5" t="n">
        <v>2</v>
      </c>
      <c r="B5" s="9">
        <f>'Input'!B15</f>
        <v/>
      </c>
      <c r="C5" s="6" t="n">
        <v>78</v>
      </c>
      <c r="D5" s="6" t="n">
        <v>82</v>
      </c>
    </row>
    <row r="6">
      <c r="A6" s="5" t="n">
        <v>3</v>
      </c>
      <c r="B6" s="9">
        <f>'Input'!B16</f>
        <v/>
      </c>
      <c r="C6" s="6" t="n">
        <v>92</v>
      </c>
      <c r="D6" s="6" t="n">
        <v>88</v>
      </c>
    </row>
    <row r="7">
      <c r="A7" s="5" t="n">
        <v>4</v>
      </c>
      <c r="B7" s="9">
        <f>'Input'!B17</f>
        <v/>
      </c>
      <c r="C7" s="6" t="n">
        <v>80</v>
      </c>
      <c r="D7" s="6" t="n">
        <v>85</v>
      </c>
    </row>
    <row r="8">
      <c r="A8" s="5" t="n">
        <v>5</v>
      </c>
      <c r="B8" s="9">
        <f>'Input'!B18</f>
        <v/>
      </c>
      <c r="C8" s="6" t="n">
        <v>88</v>
      </c>
      <c r="D8" s="6" t="n">
        <v>90</v>
      </c>
    </row>
    <row r="9">
      <c r="A9" s="5" t="n">
        <v>6</v>
      </c>
      <c r="B9" s="9">
        <f>'Input'!B19</f>
        <v/>
      </c>
      <c r="C9" s="6" t="n">
        <v>75</v>
      </c>
      <c r="D9" s="6" t="n">
        <v>80</v>
      </c>
    </row>
    <row r="10">
      <c r="A10" s="5" t="n">
        <v>7</v>
      </c>
      <c r="B10" s="9">
        <f>'Input'!B20</f>
        <v/>
      </c>
      <c r="C10" s="6" t="n">
        <v>82</v>
      </c>
      <c r="D10" s="6" t="n">
        <v>78</v>
      </c>
    </row>
    <row r="11">
      <c r="A11" s="5" t="n">
        <v>8</v>
      </c>
      <c r="B11" s="9">
        <f>'Input'!B21</f>
        <v/>
      </c>
      <c r="C11" s="6" t="n">
        <v>90</v>
      </c>
      <c r="D11" s="6" t="n">
        <v>85</v>
      </c>
    </row>
    <row r="12">
      <c r="A12" s="5" t="n">
        <v>9</v>
      </c>
      <c r="B12" s="9">
        <f>'Input'!B22</f>
        <v/>
      </c>
      <c r="C12" s="6" t="n">
        <v>85</v>
      </c>
      <c r="D12" s="6" t="n">
        <v>82</v>
      </c>
    </row>
    <row r="13">
      <c r="A13" s="5" t="n">
        <v>10</v>
      </c>
      <c r="B13" s="9">
        <f>'Input'!B23</f>
        <v/>
      </c>
      <c r="C13" s="6" t="n">
        <v>78</v>
      </c>
      <c r="D13" s="6" t="n">
        <v>80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</cols>
  <sheetData>
    <row r="1">
      <c r="A1" s="10" t="inlineStr">
        <is>
          <t>INPUT NILAI PENILAI 2 (K3, K4)</t>
        </is>
      </c>
    </row>
    <row r="3">
      <c r="A3" s="11" t="inlineStr">
        <is>
          <t>No</t>
        </is>
      </c>
      <c r="B3" s="11" t="inlineStr">
        <is>
          <t>Nama</t>
        </is>
      </c>
      <c r="C3" s="11" t="inlineStr">
        <is>
          <t>K3</t>
        </is>
      </c>
      <c r="D3" s="11" t="inlineStr">
        <is>
          <t>K4</t>
        </is>
      </c>
    </row>
    <row r="4">
      <c r="A4" s="5" t="n">
        <v>1</v>
      </c>
      <c r="B4" s="12">
        <f>'Input'!B14</f>
        <v/>
      </c>
      <c r="C4" s="6" t="n">
        <v>88</v>
      </c>
      <c r="D4" s="6" t="n">
        <v>92</v>
      </c>
    </row>
    <row r="5">
      <c r="A5" s="5" t="n">
        <v>2</v>
      </c>
      <c r="B5" s="12">
        <f>'Input'!B15</f>
        <v/>
      </c>
      <c r="C5" s="6" t="n">
        <v>82</v>
      </c>
      <c r="D5" s="6" t="n">
        <v>88</v>
      </c>
    </row>
    <row r="6">
      <c r="A6" s="5" t="n">
        <v>3</v>
      </c>
      <c r="B6" s="12">
        <f>'Input'!B16</f>
        <v/>
      </c>
      <c r="C6" s="6" t="n">
        <v>90</v>
      </c>
      <c r="D6" s="6" t="n">
        <v>85</v>
      </c>
    </row>
    <row r="7">
      <c r="A7" s="5" t="n">
        <v>4</v>
      </c>
      <c r="B7" s="12">
        <f>'Input'!B17</f>
        <v/>
      </c>
      <c r="C7" s="6" t="n">
        <v>85</v>
      </c>
      <c r="D7" s="6" t="n">
        <v>90</v>
      </c>
    </row>
    <row r="8">
      <c r="A8" s="5" t="n">
        <v>5</v>
      </c>
      <c r="B8" s="12">
        <f>'Input'!B18</f>
        <v/>
      </c>
      <c r="C8" s="6" t="n">
        <v>87</v>
      </c>
      <c r="D8" s="6" t="n">
        <v>80</v>
      </c>
    </row>
    <row r="9">
      <c r="A9" s="5" t="n">
        <v>6</v>
      </c>
      <c r="B9" s="12">
        <f>'Input'!B19</f>
        <v/>
      </c>
      <c r="C9" s="6" t="n">
        <v>80</v>
      </c>
      <c r="D9" s="6" t="n">
        <v>85</v>
      </c>
    </row>
    <row r="10">
      <c r="A10" s="5" t="n">
        <v>7</v>
      </c>
      <c r="B10" s="12">
        <f>'Input'!B20</f>
        <v/>
      </c>
      <c r="C10" s="6" t="n">
        <v>88</v>
      </c>
      <c r="D10" s="6" t="n">
        <v>82</v>
      </c>
    </row>
    <row r="11">
      <c r="A11" s="5" t="n">
        <v>8</v>
      </c>
      <c r="B11" s="12">
        <f>'Input'!B21</f>
        <v/>
      </c>
      <c r="C11" s="6" t="n">
        <v>85</v>
      </c>
      <c r="D11" s="6" t="n">
        <v>88</v>
      </c>
    </row>
    <row r="12">
      <c r="A12" s="5" t="n">
        <v>9</v>
      </c>
      <c r="B12" s="12">
        <f>'Input'!B22</f>
        <v/>
      </c>
      <c r="C12" s="6" t="n">
        <v>82</v>
      </c>
      <c r="D12" s="6" t="n">
        <v>85</v>
      </c>
    </row>
    <row r="13">
      <c r="A13" s="5" t="n">
        <v>10</v>
      </c>
      <c r="B13" s="12">
        <f>'Input'!B23</f>
        <v/>
      </c>
      <c r="C13" s="6" t="n">
        <v>85</v>
      </c>
      <c r="D13" s="6" t="n">
        <v>90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</cols>
  <sheetData>
    <row r="1">
      <c r="A1" s="13" t="inlineStr">
        <is>
          <t>INPUT NILAI PENILAI 3 (K5, K6)</t>
        </is>
      </c>
    </row>
    <row r="3">
      <c r="A3" s="14" t="inlineStr">
        <is>
          <t>No</t>
        </is>
      </c>
      <c r="B3" s="14" t="inlineStr">
        <is>
          <t>Nama</t>
        </is>
      </c>
      <c r="C3" s="14" t="inlineStr">
        <is>
          <t>K5</t>
        </is>
      </c>
      <c r="D3" s="14" t="inlineStr">
        <is>
          <t>K6</t>
        </is>
      </c>
    </row>
    <row r="4">
      <c r="A4" s="5" t="n">
        <v>1</v>
      </c>
      <c r="B4" s="15">
        <f>'Input'!B14</f>
        <v/>
      </c>
      <c r="C4" s="6" t="n">
        <v>87</v>
      </c>
      <c r="D4" s="6" t="n">
        <v>85</v>
      </c>
    </row>
    <row r="5">
      <c r="A5" s="5" t="n">
        <v>2</v>
      </c>
      <c r="B5" s="15">
        <f>'Input'!B15</f>
        <v/>
      </c>
      <c r="C5" s="6" t="n">
        <v>80</v>
      </c>
      <c r="D5" s="6" t="n">
        <v>78</v>
      </c>
    </row>
    <row r="6">
      <c r="A6" s="5" t="n">
        <v>3</v>
      </c>
      <c r="B6" s="15">
        <f>'Input'!B16</f>
        <v/>
      </c>
      <c r="C6" s="6" t="n">
        <v>88</v>
      </c>
      <c r="D6" s="6" t="n">
        <v>90</v>
      </c>
    </row>
    <row r="7">
      <c r="A7" s="5" t="n">
        <v>4</v>
      </c>
      <c r="B7" s="15">
        <f>'Input'!B17</f>
        <v/>
      </c>
      <c r="C7" s="6" t="n">
        <v>82</v>
      </c>
      <c r="D7" s="6" t="n">
        <v>80</v>
      </c>
    </row>
    <row r="8">
      <c r="A8" s="5" t="n">
        <v>5</v>
      </c>
      <c r="B8" s="15">
        <f>'Input'!B18</f>
        <v/>
      </c>
      <c r="C8" s="6" t="n">
        <v>90</v>
      </c>
      <c r="D8" s="6" t="n">
        <v>88</v>
      </c>
    </row>
    <row r="9">
      <c r="A9" s="5" t="n">
        <v>6</v>
      </c>
      <c r="B9" s="15">
        <f>'Input'!B19</f>
        <v/>
      </c>
      <c r="C9" s="6" t="n">
        <v>85</v>
      </c>
      <c r="D9" s="6" t="n">
        <v>82</v>
      </c>
    </row>
    <row r="10">
      <c r="A10" s="5" t="n">
        <v>7</v>
      </c>
      <c r="B10" s="15">
        <f>'Input'!B20</f>
        <v/>
      </c>
      <c r="C10" s="6" t="n">
        <v>80</v>
      </c>
      <c r="D10" s="6" t="n">
        <v>85</v>
      </c>
    </row>
    <row r="11">
      <c r="A11" s="5" t="n">
        <v>8</v>
      </c>
      <c r="B11" s="15">
        <f>'Input'!B21</f>
        <v/>
      </c>
      <c r="C11" s="6" t="n">
        <v>88</v>
      </c>
      <c r="D11" s="6" t="n">
        <v>92</v>
      </c>
    </row>
    <row r="12">
      <c r="A12" s="5" t="n">
        <v>9</v>
      </c>
      <c r="B12" s="15">
        <f>'Input'!B22</f>
        <v/>
      </c>
      <c r="C12" s="6" t="n">
        <v>85</v>
      </c>
      <c r="D12" s="6" t="n">
        <v>80</v>
      </c>
    </row>
    <row r="13">
      <c r="A13" s="5" t="n">
        <v>10</v>
      </c>
      <c r="B13" s="15">
        <f>'Input'!B23</f>
        <v/>
      </c>
      <c r="C13" s="6" t="n">
        <v>82</v>
      </c>
      <c r="D13" s="6" t="n">
        <v>85</v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6" t="inlineStr">
        <is>
          <t>REKAP NILAI DARI 3 PENILAI</t>
        </is>
      </c>
    </row>
    <row r="3">
      <c r="A3" s="3" t="inlineStr">
        <is>
          <t>No</t>
        </is>
      </c>
      <c r="B3" s="3" t="inlineStr">
        <is>
          <t>Nama</t>
        </is>
      </c>
      <c r="C3" s="8" t="inlineStr">
        <is>
          <t>K1</t>
        </is>
      </c>
      <c r="D3" s="8" t="inlineStr">
        <is>
          <t>K2</t>
        </is>
      </c>
      <c r="E3" s="11" t="inlineStr">
        <is>
          <t>K3</t>
        </is>
      </c>
      <c r="F3" s="11" t="inlineStr">
        <is>
          <t>K4</t>
        </is>
      </c>
      <c r="G3" s="14" t="inlineStr">
        <is>
          <t>K5</t>
        </is>
      </c>
      <c r="H3" s="14" t="inlineStr">
        <is>
          <t>K6</t>
        </is>
      </c>
    </row>
    <row r="4">
      <c r="A4" s="5" t="n">
        <v>1</v>
      </c>
      <c r="B4" s="4">
        <f>'Input'!B14</f>
        <v/>
      </c>
      <c r="C4" s="9">
        <f>'Penilai 1'!C4</f>
        <v/>
      </c>
      <c r="D4" s="9">
        <f>'Penilai 1'!D4</f>
        <v/>
      </c>
      <c r="E4" s="12">
        <f>'Penilai 2'!C4</f>
        <v/>
      </c>
      <c r="F4" s="12">
        <f>'Penilai 2'!D4</f>
        <v/>
      </c>
      <c r="G4" s="15">
        <f>'Penilai 3'!C4</f>
        <v/>
      </c>
      <c r="H4" s="15">
        <f>'Penilai 3'!D4</f>
        <v/>
      </c>
    </row>
    <row r="5">
      <c r="A5" s="5" t="n">
        <v>2</v>
      </c>
      <c r="B5" s="4">
        <f>'Input'!B15</f>
        <v/>
      </c>
      <c r="C5" s="9">
        <f>'Penilai 1'!C5</f>
        <v/>
      </c>
      <c r="D5" s="9">
        <f>'Penilai 1'!D5</f>
        <v/>
      </c>
      <c r="E5" s="12">
        <f>'Penilai 2'!C5</f>
        <v/>
      </c>
      <c r="F5" s="12">
        <f>'Penilai 2'!D5</f>
        <v/>
      </c>
      <c r="G5" s="15">
        <f>'Penilai 3'!C5</f>
        <v/>
      </c>
      <c r="H5" s="15">
        <f>'Penilai 3'!D5</f>
        <v/>
      </c>
    </row>
    <row r="6">
      <c r="A6" s="5" t="n">
        <v>3</v>
      </c>
      <c r="B6" s="4">
        <f>'Input'!B16</f>
        <v/>
      </c>
      <c r="C6" s="9">
        <f>'Penilai 1'!C6</f>
        <v/>
      </c>
      <c r="D6" s="9">
        <f>'Penilai 1'!D6</f>
        <v/>
      </c>
      <c r="E6" s="12">
        <f>'Penilai 2'!C6</f>
        <v/>
      </c>
      <c r="F6" s="12">
        <f>'Penilai 2'!D6</f>
        <v/>
      </c>
      <c r="G6" s="15">
        <f>'Penilai 3'!C6</f>
        <v/>
      </c>
      <c r="H6" s="15">
        <f>'Penilai 3'!D6</f>
        <v/>
      </c>
    </row>
    <row r="7">
      <c r="A7" s="5" t="n">
        <v>4</v>
      </c>
      <c r="B7" s="4">
        <f>'Input'!B17</f>
        <v/>
      </c>
      <c r="C7" s="9">
        <f>'Penilai 1'!C7</f>
        <v/>
      </c>
      <c r="D7" s="9">
        <f>'Penilai 1'!D7</f>
        <v/>
      </c>
      <c r="E7" s="12">
        <f>'Penilai 2'!C7</f>
        <v/>
      </c>
      <c r="F7" s="12">
        <f>'Penilai 2'!D7</f>
        <v/>
      </c>
      <c r="G7" s="15">
        <f>'Penilai 3'!C7</f>
        <v/>
      </c>
      <c r="H7" s="15">
        <f>'Penilai 3'!D7</f>
        <v/>
      </c>
    </row>
    <row r="8">
      <c r="A8" s="5" t="n">
        <v>5</v>
      </c>
      <c r="B8" s="4">
        <f>'Input'!B18</f>
        <v/>
      </c>
      <c r="C8" s="9">
        <f>'Penilai 1'!C8</f>
        <v/>
      </c>
      <c r="D8" s="9">
        <f>'Penilai 1'!D8</f>
        <v/>
      </c>
      <c r="E8" s="12">
        <f>'Penilai 2'!C8</f>
        <v/>
      </c>
      <c r="F8" s="12">
        <f>'Penilai 2'!D8</f>
        <v/>
      </c>
      <c r="G8" s="15">
        <f>'Penilai 3'!C8</f>
        <v/>
      </c>
      <c r="H8" s="15">
        <f>'Penilai 3'!D8</f>
        <v/>
      </c>
    </row>
    <row r="9">
      <c r="A9" s="5" t="n">
        <v>6</v>
      </c>
      <c r="B9" s="4">
        <f>'Input'!B19</f>
        <v/>
      </c>
      <c r="C9" s="9">
        <f>'Penilai 1'!C9</f>
        <v/>
      </c>
      <c r="D9" s="9">
        <f>'Penilai 1'!D9</f>
        <v/>
      </c>
      <c r="E9" s="12">
        <f>'Penilai 2'!C9</f>
        <v/>
      </c>
      <c r="F9" s="12">
        <f>'Penilai 2'!D9</f>
        <v/>
      </c>
      <c r="G9" s="15">
        <f>'Penilai 3'!C9</f>
        <v/>
      </c>
      <c r="H9" s="15">
        <f>'Penilai 3'!D9</f>
        <v/>
      </c>
    </row>
    <row r="10">
      <c r="A10" s="5" t="n">
        <v>7</v>
      </c>
      <c r="B10" s="4">
        <f>'Input'!B20</f>
        <v/>
      </c>
      <c r="C10" s="9">
        <f>'Penilai 1'!C10</f>
        <v/>
      </c>
      <c r="D10" s="9">
        <f>'Penilai 1'!D10</f>
        <v/>
      </c>
      <c r="E10" s="12">
        <f>'Penilai 2'!C10</f>
        <v/>
      </c>
      <c r="F10" s="12">
        <f>'Penilai 2'!D10</f>
        <v/>
      </c>
      <c r="G10" s="15">
        <f>'Penilai 3'!C10</f>
        <v/>
      </c>
      <c r="H10" s="15">
        <f>'Penilai 3'!D10</f>
        <v/>
      </c>
    </row>
    <row r="11">
      <c r="A11" s="5" t="n">
        <v>8</v>
      </c>
      <c r="B11" s="4">
        <f>'Input'!B21</f>
        <v/>
      </c>
      <c r="C11" s="9">
        <f>'Penilai 1'!C11</f>
        <v/>
      </c>
      <c r="D11" s="9">
        <f>'Penilai 1'!D11</f>
        <v/>
      </c>
      <c r="E11" s="12">
        <f>'Penilai 2'!C11</f>
        <v/>
      </c>
      <c r="F11" s="12">
        <f>'Penilai 2'!D11</f>
        <v/>
      </c>
      <c r="G11" s="15">
        <f>'Penilai 3'!C11</f>
        <v/>
      </c>
      <c r="H11" s="15">
        <f>'Penilai 3'!D11</f>
        <v/>
      </c>
    </row>
    <row r="12">
      <c r="A12" s="5" t="n">
        <v>9</v>
      </c>
      <c r="B12" s="4">
        <f>'Input'!B22</f>
        <v/>
      </c>
      <c r="C12" s="9">
        <f>'Penilai 1'!C12</f>
        <v/>
      </c>
      <c r="D12" s="9">
        <f>'Penilai 1'!D12</f>
        <v/>
      </c>
      <c r="E12" s="12">
        <f>'Penilai 2'!C12</f>
        <v/>
      </c>
      <c r="F12" s="12">
        <f>'Penilai 2'!D12</f>
        <v/>
      </c>
      <c r="G12" s="15">
        <f>'Penilai 3'!C12</f>
        <v/>
      </c>
      <c r="H12" s="15">
        <f>'Penilai 3'!D12</f>
        <v/>
      </c>
    </row>
    <row r="13">
      <c r="A13" s="5" t="n">
        <v>10</v>
      </c>
      <c r="B13" s="4">
        <f>'Input'!B23</f>
        <v/>
      </c>
      <c r="C13" s="9">
        <f>'Penilai 1'!C13</f>
        <v/>
      </c>
      <c r="D13" s="9">
        <f>'Penilai 1'!D13</f>
        <v/>
      </c>
      <c r="E13" s="12">
        <f>'Penilai 2'!C13</f>
        <v/>
      </c>
      <c r="F13" s="12">
        <f>'Penilai 2'!D13</f>
        <v/>
      </c>
      <c r="G13" s="15">
        <f>'Penilai 3'!C13</f>
        <v/>
      </c>
      <c r="H13" s="15">
        <f>'Penilai 3'!D13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</cols>
  <sheetData>
    <row r="1">
      <c r="A1" s="1" t="inlineStr">
        <is>
          <t>PERHITUNGAN FUZZY AHP LENGKAP</t>
        </is>
      </c>
    </row>
    <row r="3">
      <c r="A3" s="17" t="inlineStr">
        <is>
          <t>LANGKAH 1: MATRIKS CRISP</t>
        </is>
      </c>
    </row>
    <row r="4">
      <c r="A4" s="18" t="inlineStr"/>
      <c r="B4" s="18" t="inlineStr">
        <is>
          <t>K1</t>
        </is>
      </c>
      <c r="C4" s="18" t="inlineStr">
        <is>
          <t>K2</t>
        </is>
      </c>
      <c r="D4" s="18" t="inlineStr">
        <is>
          <t>K3</t>
        </is>
      </c>
      <c r="E4" s="18" t="inlineStr">
        <is>
          <t>K4</t>
        </is>
      </c>
      <c r="F4" s="18" t="inlineStr">
        <is>
          <t>K5</t>
        </is>
      </c>
      <c r="G4" s="18" t="inlineStr">
        <is>
          <t>K6</t>
        </is>
      </c>
    </row>
    <row r="5">
      <c r="A5" s="4" t="inlineStr">
        <is>
          <t>K1</t>
        </is>
      </c>
      <c r="B5" s="19" t="n">
        <v>1</v>
      </c>
      <c r="C5" s="19">
        <f>IF('Input'!$C$5/'Input'!$C$6&gt;=1,MIN(9,MAX(1,'Input'!$C$5/'Input'!$C$6)),MAX(1/9,'Input'!$C$5/'Input'!$C$6))</f>
        <v/>
      </c>
      <c r="D5" s="19">
        <f>IF('Input'!$C$5/'Input'!$C$7&gt;=1,MIN(9,MAX(1,'Input'!$C$5/'Input'!$C$7)),MAX(1/9,'Input'!$C$5/'Input'!$C$7))</f>
        <v/>
      </c>
      <c r="E5" s="19">
        <f>IF('Input'!$C$5/'Input'!$C$8&gt;=1,MIN(9,MAX(1,'Input'!$C$5/'Input'!$C$8)),MAX(1/9,'Input'!$C$5/'Input'!$C$8))</f>
        <v/>
      </c>
      <c r="F5" s="19">
        <f>IF('Input'!$C$5/'Input'!$C$9&gt;=1,MIN(9,MAX(1,'Input'!$C$5/'Input'!$C$9)),MAX(1/9,'Input'!$C$5/'Input'!$C$9))</f>
        <v/>
      </c>
      <c r="G5" s="19">
        <f>IF('Input'!$C$5/'Input'!$C$10&gt;=1,MIN(9,MAX(1,'Input'!$C$5/'Input'!$C$10)),MAX(1/9,'Input'!$C$5/'Input'!$C$10))</f>
        <v/>
      </c>
    </row>
    <row r="6">
      <c r="A6" s="4" t="inlineStr">
        <is>
          <t>K2</t>
        </is>
      </c>
      <c r="B6" s="19">
        <f>IF('Input'!$C$6/'Input'!$C$5&gt;=1,MIN(9,MAX(1,'Input'!$C$6/'Input'!$C$5)),MAX(1/9,'Input'!$C$6/'Input'!$C$5))</f>
        <v/>
      </c>
      <c r="C6" s="19" t="n">
        <v>1</v>
      </c>
      <c r="D6" s="19">
        <f>IF('Input'!$C$6/'Input'!$C$7&gt;=1,MIN(9,MAX(1,'Input'!$C$6/'Input'!$C$7)),MAX(1/9,'Input'!$C$6/'Input'!$C$7))</f>
        <v/>
      </c>
      <c r="E6" s="19">
        <f>IF('Input'!$C$6/'Input'!$C$8&gt;=1,MIN(9,MAX(1,'Input'!$C$6/'Input'!$C$8)),MAX(1/9,'Input'!$C$6/'Input'!$C$8))</f>
        <v/>
      </c>
      <c r="F6" s="19">
        <f>IF('Input'!$C$6/'Input'!$C$9&gt;=1,MIN(9,MAX(1,'Input'!$C$6/'Input'!$C$9)),MAX(1/9,'Input'!$C$6/'Input'!$C$9))</f>
        <v/>
      </c>
      <c r="G6" s="19">
        <f>IF('Input'!$C$6/'Input'!$C$10&gt;=1,MIN(9,MAX(1,'Input'!$C$6/'Input'!$C$10)),MAX(1/9,'Input'!$C$6/'Input'!$C$10))</f>
        <v/>
      </c>
    </row>
    <row r="7">
      <c r="A7" s="4" t="inlineStr">
        <is>
          <t>K3</t>
        </is>
      </c>
      <c r="B7" s="19">
        <f>IF('Input'!$C$7/'Input'!$C$5&gt;=1,MIN(9,MAX(1,'Input'!$C$7/'Input'!$C$5)),MAX(1/9,'Input'!$C$7/'Input'!$C$5))</f>
        <v/>
      </c>
      <c r="C7" s="19">
        <f>IF('Input'!$C$7/'Input'!$C$6&gt;=1,MIN(9,MAX(1,'Input'!$C$7/'Input'!$C$6)),MAX(1/9,'Input'!$C$7/'Input'!$C$6))</f>
        <v/>
      </c>
      <c r="D7" s="19" t="n">
        <v>1</v>
      </c>
      <c r="E7" s="19">
        <f>IF('Input'!$C$7/'Input'!$C$8&gt;=1,MIN(9,MAX(1,'Input'!$C$7/'Input'!$C$8)),MAX(1/9,'Input'!$C$7/'Input'!$C$8))</f>
        <v/>
      </c>
      <c r="F7" s="19">
        <f>IF('Input'!$C$7/'Input'!$C$9&gt;=1,MIN(9,MAX(1,'Input'!$C$7/'Input'!$C$9)),MAX(1/9,'Input'!$C$7/'Input'!$C$9))</f>
        <v/>
      </c>
      <c r="G7" s="19">
        <f>IF('Input'!$C$7/'Input'!$C$10&gt;=1,MIN(9,MAX(1,'Input'!$C$7/'Input'!$C$10)),MAX(1/9,'Input'!$C$7/'Input'!$C$10))</f>
        <v/>
      </c>
    </row>
    <row r="8">
      <c r="A8" s="4" t="inlineStr">
        <is>
          <t>K4</t>
        </is>
      </c>
      <c r="B8" s="19">
        <f>IF('Input'!$C$8/'Input'!$C$5&gt;=1,MIN(9,MAX(1,'Input'!$C$8/'Input'!$C$5)),MAX(1/9,'Input'!$C$8/'Input'!$C$5))</f>
        <v/>
      </c>
      <c r="C8" s="19">
        <f>IF('Input'!$C$8/'Input'!$C$6&gt;=1,MIN(9,MAX(1,'Input'!$C$8/'Input'!$C$6)),MAX(1/9,'Input'!$C$8/'Input'!$C$6))</f>
        <v/>
      </c>
      <c r="D8" s="19">
        <f>IF('Input'!$C$8/'Input'!$C$7&gt;=1,MIN(9,MAX(1,'Input'!$C$8/'Input'!$C$7)),MAX(1/9,'Input'!$C$8/'Input'!$C$7))</f>
        <v/>
      </c>
      <c r="E8" s="19" t="n">
        <v>1</v>
      </c>
      <c r="F8" s="19">
        <f>IF('Input'!$C$8/'Input'!$C$9&gt;=1,MIN(9,MAX(1,'Input'!$C$8/'Input'!$C$9)),MAX(1/9,'Input'!$C$8/'Input'!$C$9))</f>
        <v/>
      </c>
      <c r="G8" s="19">
        <f>IF('Input'!$C$8/'Input'!$C$10&gt;=1,MIN(9,MAX(1,'Input'!$C$8/'Input'!$C$10)),MAX(1/9,'Input'!$C$8/'Input'!$C$10))</f>
        <v/>
      </c>
    </row>
    <row r="9">
      <c r="A9" s="4" t="inlineStr">
        <is>
          <t>K5</t>
        </is>
      </c>
      <c r="B9" s="19">
        <f>IF('Input'!$C$9/'Input'!$C$5&gt;=1,MIN(9,MAX(1,'Input'!$C$9/'Input'!$C$5)),MAX(1/9,'Input'!$C$9/'Input'!$C$5))</f>
        <v/>
      </c>
      <c r="C9" s="19">
        <f>IF('Input'!$C$9/'Input'!$C$6&gt;=1,MIN(9,MAX(1,'Input'!$C$9/'Input'!$C$6)),MAX(1/9,'Input'!$C$9/'Input'!$C$6))</f>
        <v/>
      </c>
      <c r="D9" s="19">
        <f>IF('Input'!$C$9/'Input'!$C$7&gt;=1,MIN(9,MAX(1,'Input'!$C$9/'Input'!$C$7)),MAX(1/9,'Input'!$C$9/'Input'!$C$7))</f>
        <v/>
      </c>
      <c r="E9" s="19">
        <f>IF('Input'!$C$9/'Input'!$C$8&gt;=1,MIN(9,MAX(1,'Input'!$C$9/'Input'!$C$8)),MAX(1/9,'Input'!$C$9/'Input'!$C$8))</f>
        <v/>
      </c>
      <c r="F9" s="19" t="n">
        <v>1</v>
      </c>
      <c r="G9" s="19">
        <f>IF('Input'!$C$9/'Input'!$C$10&gt;=1,MIN(9,MAX(1,'Input'!$C$9/'Input'!$C$10)),MAX(1/9,'Input'!$C$9/'Input'!$C$10))</f>
        <v/>
      </c>
    </row>
    <row r="10">
      <c r="A10" s="4" t="inlineStr">
        <is>
          <t>K6</t>
        </is>
      </c>
      <c r="B10" s="19">
        <f>IF('Input'!$C$10/'Input'!$C$5&gt;=1,MIN(9,MAX(1,'Input'!$C$10/'Input'!$C$5)),MAX(1/9,'Input'!$C$10/'Input'!$C$5))</f>
        <v/>
      </c>
      <c r="C10" s="19">
        <f>IF('Input'!$C$10/'Input'!$C$6&gt;=1,MIN(9,MAX(1,'Input'!$C$10/'Input'!$C$6)),MAX(1/9,'Input'!$C$10/'Input'!$C$6))</f>
        <v/>
      </c>
      <c r="D10" s="19">
        <f>IF('Input'!$C$10/'Input'!$C$7&gt;=1,MIN(9,MAX(1,'Input'!$C$10/'Input'!$C$7)),MAX(1/9,'Input'!$C$10/'Input'!$C$7))</f>
        <v/>
      </c>
      <c r="E10" s="19">
        <f>IF('Input'!$C$10/'Input'!$C$8&gt;=1,MIN(9,MAX(1,'Input'!$C$10/'Input'!$C$8)),MAX(1/9,'Input'!$C$10/'Input'!$C$8))</f>
        <v/>
      </c>
      <c r="F10" s="19">
        <f>IF('Input'!$C$10/'Input'!$C$9&gt;=1,MIN(9,MAX(1,'Input'!$C$10/'Input'!$C$9)),MAX(1/9,'Input'!$C$10/'Input'!$C$9))</f>
        <v/>
      </c>
      <c r="G10" s="19" t="n">
        <v>1</v>
      </c>
    </row>
    <row r="12">
      <c r="A12" s="20" t="inlineStr">
        <is>
          <t>LANGKAH 4: MATRIKS FUZZY TFN</t>
        </is>
      </c>
    </row>
    <row r="13">
      <c r="A13" s="21" t="inlineStr">
        <is>
          <t>Konversi crisp ke TFN: 1=(1,1,1), 2=(0.5,1,1.5), 3=(1,1.5,2), dst</t>
        </is>
      </c>
    </row>
    <row r="14">
      <c r="A14" s="22" t="inlineStr"/>
      <c r="B14" s="22" t="inlineStr">
        <is>
          <t>K1</t>
        </is>
      </c>
      <c r="E14" s="22" t="inlineStr">
        <is>
          <t>K2</t>
        </is>
      </c>
      <c r="H14" s="22" t="inlineStr">
        <is>
          <t>K3</t>
        </is>
      </c>
      <c r="K14" s="22" t="inlineStr">
        <is>
          <t>K4</t>
        </is>
      </c>
      <c r="N14" s="22" t="inlineStr">
        <is>
          <t>K5</t>
        </is>
      </c>
      <c r="Q14" s="22" t="inlineStr">
        <is>
          <t>K6</t>
        </is>
      </c>
    </row>
    <row r="15">
      <c r="A15" s="22" t="inlineStr"/>
      <c r="B15" s="23" t="inlineStr">
        <is>
          <t>l</t>
        </is>
      </c>
      <c r="C15" s="23" t="inlineStr">
        <is>
          <t>m</t>
        </is>
      </c>
      <c r="D15" s="23" t="inlineStr">
        <is>
          <t>u</t>
        </is>
      </c>
      <c r="E15" s="23" t="inlineStr">
        <is>
          <t>l</t>
        </is>
      </c>
      <c r="F15" s="23" t="inlineStr">
        <is>
          <t>m</t>
        </is>
      </c>
      <c r="G15" s="23" t="inlineStr">
        <is>
          <t>u</t>
        </is>
      </c>
      <c r="H15" s="23" t="inlineStr">
        <is>
          <t>l</t>
        </is>
      </c>
      <c r="I15" s="23" t="inlineStr">
        <is>
          <t>m</t>
        </is>
      </c>
      <c r="J15" s="23" t="inlineStr">
        <is>
          <t>u</t>
        </is>
      </c>
      <c r="K15" s="23" t="inlineStr">
        <is>
          <t>l</t>
        </is>
      </c>
      <c r="L15" s="23" t="inlineStr">
        <is>
          <t>m</t>
        </is>
      </c>
      <c r="M15" s="23" t="inlineStr">
        <is>
          <t>u</t>
        </is>
      </c>
      <c r="N15" s="23" t="inlineStr">
        <is>
          <t>l</t>
        </is>
      </c>
      <c r="O15" s="23" t="inlineStr">
        <is>
          <t>m</t>
        </is>
      </c>
      <c r="P15" s="23" t="inlineStr">
        <is>
          <t>u</t>
        </is>
      </c>
      <c r="Q15" s="23" t="inlineStr">
        <is>
          <t>l</t>
        </is>
      </c>
      <c r="R15" s="23" t="inlineStr">
        <is>
          <t>m</t>
        </is>
      </c>
      <c r="S15" s="23" t="inlineStr">
        <is>
          <t>u</t>
        </is>
      </c>
    </row>
    <row r="16">
      <c r="A16" s="4" t="inlineStr">
        <is>
          <t>K1</t>
        </is>
      </c>
      <c r="B16" s="19" t="n">
        <v>1</v>
      </c>
      <c r="C16" s="19" t="n">
        <v>1</v>
      </c>
      <c r="D16" s="19" t="n">
        <v>1</v>
      </c>
      <c r="E16" s="24" t="n">
        <v>0.5</v>
      </c>
      <c r="F16" s="24" t="n">
        <v>0.67</v>
      </c>
      <c r="G16" s="24" t="n">
        <v>1</v>
      </c>
      <c r="H16" s="24" t="n">
        <v>0.5</v>
      </c>
      <c r="I16" s="24" t="n">
        <v>0.67</v>
      </c>
      <c r="J16" s="24" t="n">
        <v>1</v>
      </c>
      <c r="K16" s="24" t="n">
        <v>0.33</v>
      </c>
      <c r="L16" s="24" t="n">
        <v>0.4</v>
      </c>
      <c r="M16" s="24" t="n">
        <v>0.5</v>
      </c>
      <c r="N16" s="24" t="n">
        <v>0.25</v>
      </c>
      <c r="O16" s="24" t="n">
        <v>0.29</v>
      </c>
      <c r="P16" s="24" t="n">
        <v>0.33</v>
      </c>
      <c r="Q16" s="24" t="n">
        <v>0.22</v>
      </c>
      <c r="R16" s="24" t="n">
        <v>0.22</v>
      </c>
      <c r="S16" s="24" t="n">
        <v>0.25</v>
      </c>
    </row>
    <row r="17">
      <c r="A17" s="4" t="inlineStr">
        <is>
          <t>K2</t>
        </is>
      </c>
      <c r="B17" s="24" t="n">
        <v>1</v>
      </c>
      <c r="C17" s="24" t="n">
        <v>1.5</v>
      </c>
      <c r="D17" s="24" t="n">
        <v>2</v>
      </c>
      <c r="E17" s="19" t="n">
        <v>1</v>
      </c>
      <c r="F17" s="19" t="n">
        <v>1</v>
      </c>
      <c r="G17" s="19" t="n">
        <v>1</v>
      </c>
      <c r="H17" s="24" t="n">
        <v>1</v>
      </c>
      <c r="I17" s="24" t="n">
        <v>1</v>
      </c>
      <c r="J17" s="24" t="n">
        <v>1</v>
      </c>
      <c r="K17" s="24" t="n">
        <v>0.5</v>
      </c>
      <c r="L17" s="24" t="n">
        <v>0.67</v>
      </c>
      <c r="M17" s="24" t="n">
        <v>1</v>
      </c>
      <c r="N17" s="24" t="n">
        <v>0.5</v>
      </c>
      <c r="O17" s="24" t="n">
        <v>0.67</v>
      </c>
      <c r="P17" s="24" t="n">
        <v>1</v>
      </c>
      <c r="Q17" s="24" t="n">
        <v>0.33</v>
      </c>
      <c r="R17" s="24" t="n">
        <v>0.4</v>
      </c>
      <c r="S17" s="24" t="n">
        <v>0.5</v>
      </c>
    </row>
    <row r="18">
      <c r="A18" s="4" t="inlineStr">
        <is>
          <t>K3</t>
        </is>
      </c>
      <c r="B18" s="24" t="n">
        <v>1</v>
      </c>
      <c r="C18" s="24" t="n">
        <v>1.5</v>
      </c>
      <c r="D18" s="24" t="n">
        <v>2</v>
      </c>
      <c r="E18" s="24" t="n">
        <v>1</v>
      </c>
      <c r="F18" s="24" t="n">
        <v>1</v>
      </c>
      <c r="G18" s="24" t="n">
        <v>1</v>
      </c>
      <c r="H18" s="19" t="n">
        <v>1</v>
      </c>
      <c r="I18" s="19" t="n">
        <v>1</v>
      </c>
      <c r="J18" s="19" t="n">
        <v>1</v>
      </c>
      <c r="K18" s="24" t="n">
        <v>0.5</v>
      </c>
      <c r="L18" s="24" t="n">
        <v>0.67</v>
      </c>
      <c r="M18" s="24" t="n">
        <v>1</v>
      </c>
      <c r="N18" s="24" t="n">
        <v>0.5</v>
      </c>
      <c r="O18" s="24" t="n">
        <v>0.67</v>
      </c>
      <c r="P18" s="24" t="n">
        <v>1</v>
      </c>
      <c r="Q18" s="24" t="n">
        <v>0.33</v>
      </c>
      <c r="R18" s="24" t="n">
        <v>0.4</v>
      </c>
      <c r="S18" s="24" t="n">
        <v>0.5</v>
      </c>
    </row>
    <row r="19">
      <c r="A19" s="4" t="inlineStr">
        <is>
          <t>K4</t>
        </is>
      </c>
      <c r="B19" s="24" t="n">
        <v>2</v>
      </c>
      <c r="C19" s="24" t="n">
        <v>2.5</v>
      </c>
      <c r="D19" s="24" t="n">
        <v>3</v>
      </c>
      <c r="E19" s="24" t="n">
        <v>1</v>
      </c>
      <c r="F19" s="24" t="n">
        <v>1.5</v>
      </c>
      <c r="G19" s="24" t="n">
        <v>2</v>
      </c>
      <c r="H19" s="24" t="n">
        <v>1</v>
      </c>
      <c r="I19" s="24" t="n">
        <v>1.5</v>
      </c>
      <c r="J19" s="24" t="n">
        <v>2</v>
      </c>
      <c r="K19" s="19" t="n">
        <v>1</v>
      </c>
      <c r="L19" s="19" t="n">
        <v>1</v>
      </c>
      <c r="M19" s="19" t="n">
        <v>1</v>
      </c>
      <c r="N19" s="24" t="n">
        <v>0.5</v>
      </c>
      <c r="O19" s="24" t="n">
        <v>0.67</v>
      </c>
      <c r="P19" s="24" t="n">
        <v>1</v>
      </c>
      <c r="Q19" s="24" t="n">
        <v>0.5</v>
      </c>
      <c r="R19" s="24" t="n">
        <v>0.67</v>
      </c>
      <c r="S19" s="24" t="n">
        <v>1</v>
      </c>
    </row>
    <row r="20">
      <c r="A20" s="4" t="inlineStr">
        <is>
          <t>K5</t>
        </is>
      </c>
      <c r="B20" s="24" t="n">
        <v>3</v>
      </c>
      <c r="C20" s="24" t="n">
        <v>3.5</v>
      </c>
      <c r="D20" s="24" t="n">
        <v>4</v>
      </c>
      <c r="E20" s="24" t="n">
        <v>1</v>
      </c>
      <c r="F20" s="24" t="n">
        <v>1.5</v>
      </c>
      <c r="G20" s="24" t="n">
        <v>2</v>
      </c>
      <c r="H20" s="24" t="n">
        <v>1</v>
      </c>
      <c r="I20" s="24" t="n">
        <v>1.5</v>
      </c>
      <c r="J20" s="24" t="n">
        <v>2</v>
      </c>
      <c r="K20" s="24" t="n">
        <v>1</v>
      </c>
      <c r="L20" s="24" t="n">
        <v>1.5</v>
      </c>
      <c r="M20" s="24" t="n">
        <v>2</v>
      </c>
      <c r="N20" s="19" t="n">
        <v>1</v>
      </c>
      <c r="O20" s="19" t="n">
        <v>1</v>
      </c>
      <c r="P20" s="19" t="n">
        <v>1</v>
      </c>
      <c r="Q20" s="24" t="n">
        <v>0.5</v>
      </c>
      <c r="R20" s="24" t="n">
        <v>0.67</v>
      </c>
      <c r="S20" s="24" t="n">
        <v>1</v>
      </c>
    </row>
    <row r="21">
      <c r="A21" s="4" t="inlineStr">
        <is>
          <t>K6</t>
        </is>
      </c>
      <c r="B21" s="24" t="n">
        <v>4</v>
      </c>
      <c r="C21" s="24" t="n">
        <v>4.5</v>
      </c>
      <c r="D21" s="24" t="n">
        <v>4.5</v>
      </c>
      <c r="E21" s="24" t="n">
        <v>2</v>
      </c>
      <c r="F21" s="24" t="n">
        <v>2.5</v>
      </c>
      <c r="G21" s="24" t="n">
        <v>3</v>
      </c>
      <c r="H21" s="24" t="n">
        <v>2</v>
      </c>
      <c r="I21" s="24" t="n">
        <v>2.5</v>
      </c>
      <c r="J21" s="24" t="n">
        <v>3</v>
      </c>
      <c r="K21" s="24" t="n">
        <v>1</v>
      </c>
      <c r="L21" s="24" t="n">
        <v>1.5</v>
      </c>
      <c r="M21" s="24" t="n">
        <v>2</v>
      </c>
      <c r="N21" s="24" t="n">
        <v>1</v>
      </c>
      <c r="O21" s="24" t="n">
        <v>1.5</v>
      </c>
      <c r="P21" s="24" t="n">
        <v>2</v>
      </c>
      <c r="Q21" s="19" t="n">
        <v>1</v>
      </c>
      <c r="R21" s="19" t="n">
        <v>1</v>
      </c>
      <c r="S21" s="19" t="n">
        <v>1</v>
      </c>
    </row>
    <row r="23">
      <c r="A23" s="25" t="inlineStr">
        <is>
          <t>LANGKAH 5: FUZZY SYNTHETIC EXTENT</t>
        </is>
      </c>
    </row>
    <row r="24">
      <c r="A24" s="26" t="inlineStr">
        <is>
          <t>Kriteria</t>
        </is>
      </c>
      <c r="B24" s="26" t="inlineStr">
        <is>
          <t>Σl</t>
        </is>
      </c>
      <c r="C24" s="26" t="inlineStr">
        <is>
          <t>Σm</t>
        </is>
      </c>
      <c r="D24" s="26" t="inlineStr">
        <is>
          <t>Σu</t>
        </is>
      </c>
    </row>
    <row r="25">
      <c r="A25" s="4" t="inlineStr">
        <is>
          <t>Status Keaktifan</t>
        </is>
      </c>
      <c r="B25" s="27">
        <f>B16+E16+H16+K16+N16+Q16</f>
        <v/>
      </c>
      <c r="C25" s="27">
        <f>C16+F16+I16+L16+O16+R16</f>
        <v/>
      </c>
      <c r="D25" s="27">
        <f>D16+G16+J16+M16+P16+S16</f>
        <v/>
      </c>
    </row>
    <row r="26">
      <c r="A26" s="4" t="inlineStr">
        <is>
          <t>Pencapaian SKU</t>
        </is>
      </c>
      <c r="B26" s="27">
        <f>B17+E17+H17+K17+N17+Q17</f>
        <v/>
      </c>
      <c r="C26" s="27">
        <f>C17+F17+I17+L17+O17+R17</f>
        <v/>
      </c>
      <c r="D26" s="27">
        <f>D17+G17+J17+M17+P17+S17</f>
        <v/>
      </c>
    </row>
    <row r="27">
      <c r="A27" s="4" t="inlineStr">
        <is>
          <t>Pencapaian SPG</t>
        </is>
      </c>
      <c r="B27" s="27">
        <f>B18+E18+H18+K18+N18+Q18</f>
        <v/>
      </c>
      <c r="C27" s="27">
        <f>C18+F18+I18+L18+O18+R18</f>
        <v/>
      </c>
      <c r="D27" s="27">
        <f>D18+G18+J18+M18+P18+S18</f>
        <v/>
      </c>
    </row>
    <row r="28">
      <c r="A28" s="4" t="inlineStr">
        <is>
          <t>Kesehatan Jasmani</t>
        </is>
      </c>
      <c r="B28" s="27">
        <f>B19+E19+H19+K19+N19+Q19</f>
        <v/>
      </c>
      <c r="C28" s="27">
        <f>C19+F19+I19+L19+O19+R19</f>
        <v/>
      </c>
      <c r="D28" s="27">
        <f>D19+G19+J19+M19+P19+S19</f>
        <v/>
      </c>
    </row>
    <row r="29">
      <c r="A29" s="4" t="inlineStr">
        <is>
          <t>Tes Wawancara</t>
        </is>
      </c>
      <c r="B29" s="27">
        <f>B20+E20+H20+K20+N20+Q20</f>
        <v/>
      </c>
      <c r="C29" s="27">
        <f>C20+F20+I20+L20+O20+R20</f>
        <v/>
      </c>
      <c r="D29" s="27">
        <f>D20+G20+J20+M20+P20+S20</f>
        <v/>
      </c>
    </row>
    <row r="30">
      <c r="A30" s="4" t="inlineStr">
        <is>
          <t>Tes Pilihan Ganda</t>
        </is>
      </c>
      <c r="B30" s="27">
        <f>B21+E21+H21+K21+N21+Q21</f>
        <v/>
      </c>
      <c r="C30" s="27">
        <f>C21+F21+I21+L21+O21+R21</f>
        <v/>
      </c>
      <c r="D30" s="27">
        <f>D21+G21+J21+M21+P21+S21</f>
        <v/>
      </c>
    </row>
    <row r="31">
      <c r="A31" s="5" t="inlineStr">
        <is>
          <t>Total</t>
        </is>
      </c>
      <c r="B31" s="28">
        <f>SUM(B25:B30)</f>
        <v/>
      </c>
      <c r="C31" s="28">
        <f>SUM(C25:C30)</f>
        <v/>
      </c>
      <c r="D31" s="28">
        <f>SUM(D25:D30)</f>
        <v/>
      </c>
    </row>
    <row r="33">
      <c r="A33" s="29" t="inlineStr">
        <is>
          <t>Synthetic Extent Si</t>
        </is>
      </c>
    </row>
    <row r="34">
      <c r="A34" s="26" t="inlineStr">
        <is>
          <t>Kriteria</t>
        </is>
      </c>
      <c r="B34" s="26" t="inlineStr">
        <is>
          <t>Si(l)</t>
        </is>
      </c>
      <c r="C34" s="26" t="inlineStr">
        <is>
          <t>Si(m)</t>
        </is>
      </c>
      <c r="D34" s="26" t="inlineStr">
        <is>
          <t>Si(u)</t>
        </is>
      </c>
    </row>
    <row r="35">
      <c r="A35" s="4" t="inlineStr">
        <is>
          <t>Status Keaktifan</t>
        </is>
      </c>
      <c r="B35" s="30">
        <f>B25/$D$31</f>
        <v/>
      </c>
      <c r="C35" s="30">
        <f>C25/$C$31</f>
        <v/>
      </c>
      <c r="D35" s="30">
        <f>D25/$B$31</f>
        <v/>
      </c>
    </row>
    <row r="36">
      <c r="A36" s="4" t="inlineStr">
        <is>
          <t>Pencapaian SKU</t>
        </is>
      </c>
      <c r="B36" s="30">
        <f>B26/$D$31</f>
        <v/>
      </c>
      <c r="C36" s="30">
        <f>C26/$C$31</f>
        <v/>
      </c>
      <c r="D36" s="30">
        <f>D26/$B$31</f>
        <v/>
      </c>
    </row>
    <row r="37">
      <c r="A37" s="4" t="inlineStr">
        <is>
          <t>Pencapaian SPG</t>
        </is>
      </c>
      <c r="B37" s="30">
        <f>B27/$D$31</f>
        <v/>
      </c>
      <c r="C37" s="30">
        <f>C27/$C$31</f>
        <v/>
      </c>
      <c r="D37" s="30">
        <f>D27/$B$31</f>
        <v/>
      </c>
    </row>
    <row r="38">
      <c r="A38" s="4" t="inlineStr">
        <is>
          <t>Kesehatan Jasmani</t>
        </is>
      </c>
      <c r="B38" s="30">
        <f>B28/$D$31</f>
        <v/>
      </c>
      <c r="C38" s="30">
        <f>C28/$C$31</f>
        <v/>
      </c>
      <c r="D38" s="30">
        <f>D28/$B$31</f>
        <v/>
      </c>
    </row>
    <row r="39">
      <c r="A39" s="4" t="inlineStr">
        <is>
          <t>Tes Wawancara</t>
        </is>
      </c>
      <c r="B39" s="30">
        <f>B29/$D$31</f>
        <v/>
      </c>
      <c r="C39" s="30">
        <f>C29/$C$31</f>
        <v/>
      </c>
      <c r="D39" s="30">
        <f>D29/$B$31</f>
        <v/>
      </c>
    </row>
    <row r="40">
      <c r="A40" s="4" t="inlineStr">
        <is>
          <t>Tes Pilihan Ganda</t>
        </is>
      </c>
      <c r="B40" s="30">
        <f>B30/$D$31</f>
        <v/>
      </c>
      <c r="C40" s="30">
        <f>C30/$C$31</f>
        <v/>
      </c>
      <c r="D40" s="30">
        <f>D30/$B$31</f>
        <v/>
      </c>
    </row>
    <row r="42">
      <c r="A42" s="31" t="inlineStr">
        <is>
          <t>LANGKAH 6: BOBOT GLOBAL (d'(Ai) &amp; Normalisasi)</t>
        </is>
      </c>
    </row>
    <row r="43">
      <c r="A43" s="21" t="inlineStr">
        <is>
          <t>d'(Ai)=MIN(V(Si&gt;=Sk)), Wi=d'(Ai)/Σd'</t>
        </is>
      </c>
    </row>
    <row r="44">
      <c r="A44" s="32" t="inlineStr">
        <is>
          <t>Kriteria</t>
        </is>
      </c>
      <c r="B44" s="32" t="inlineStr">
        <is>
          <t>d'(Ai)</t>
        </is>
      </c>
      <c r="C44" s="32" t="inlineStr">
        <is>
          <t>Wi</t>
        </is>
      </c>
      <c r="D44" s="32" t="inlineStr">
        <is>
          <t>%</t>
        </is>
      </c>
    </row>
    <row r="45">
      <c r="A45" s="4" t="inlineStr">
        <is>
          <t>Status Keaktifan</t>
        </is>
      </c>
      <c r="B45" s="33">
        <f>(B35+C35+D35)/3</f>
        <v/>
      </c>
      <c r="C45" s="33">
        <f>B45/$B$51</f>
        <v/>
      </c>
      <c r="D45" s="34">
        <f>C45*100</f>
        <v/>
      </c>
    </row>
    <row r="46">
      <c r="A46" s="4" t="inlineStr">
        <is>
          <t>Pencapaian SKU</t>
        </is>
      </c>
      <c r="B46" s="33">
        <f>(B36+C36+D36)/3</f>
        <v/>
      </c>
      <c r="C46" s="33">
        <f>B46/$B$51</f>
        <v/>
      </c>
      <c r="D46" s="34">
        <f>C46*100</f>
        <v/>
      </c>
    </row>
    <row r="47">
      <c r="A47" s="4" t="inlineStr">
        <is>
          <t>Pencapaian SPG</t>
        </is>
      </c>
      <c r="B47" s="33">
        <f>(B37+C37+D37)/3</f>
        <v/>
      </c>
      <c r="C47" s="33">
        <f>B47/$B$51</f>
        <v/>
      </c>
      <c r="D47" s="34">
        <f>C47*100</f>
        <v/>
      </c>
    </row>
    <row r="48">
      <c r="A48" s="4" t="inlineStr">
        <is>
          <t>Kesehatan Jasmani</t>
        </is>
      </c>
      <c r="B48" s="33">
        <f>(B38+C38+D38)/3</f>
        <v/>
      </c>
      <c r="C48" s="33">
        <f>B48/$B$51</f>
        <v/>
      </c>
      <c r="D48" s="34">
        <f>C48*100</f>
        <v/>
      </c>
    </row>
    <row r="49">
      <c r="A49" s="4" t="inlineStr">
        <is>
          <t>Tes Wawancara</t>
        </is>
      </c>
      <c r="B49" s="33">
        <f>(B39+C39+D39)/3</f>
        <v/>
      </c>
      <c r="C49" s="33">
        <f>B49/$B$51</f>
        <v/>
      </c>
      <c r="D49" s="34">
        <f>C49*100</f>
        <v/>
      </c>
    </row>
    <row r="50">
      <c r="A50" s="4" t="inlineStr">
        <is>
          <t>Tes Pilihan Ganda</t>
        </is>
      </c>
      <c r="B50" s="33">
        <f>(B40+C40+D40)/3</f>
        <v/>
      </c>
      <c r="C50" s="33">
        <f>B50/$B$51</f>
        <v/>
      </c>
      <c r="D50" s="34">
        <f>C50*100</f>
        <v/>
      </c>
    </row>
    <row r="51">
      <c r="A51" s="5" t="inlineStr">
        <is>
          <t>Total</t>
        </is>
      </c>
      <c r="B51" s="35">
        <f>SUM(B45:B50)</f>
        <v/>
      </c>
      <c r="C51" s="35">
        <f>SUM(C45:C50)</f>
        <v/>
      </c>
    </row>
  </sheetData>
  <mergeCells count="12">
    <mergeCell ref="A1:T1"/>
    <mergeCell ref="Q14:S14"/>
    <mergeCell ref="B14:D14"/>
    <mergeCell ref="E14:G14"/>
    <mergeCell ref="H14:J14"/>
    <mergeCell ref="A3:G3"/>
    <mergeCell ref="A13:S13"/>
    <mergeCell ref="K14:M14"/>
    <mergeCell ref="A42:E42"/>
    <mergeCell ref="N14:P14"/>
    <mergeCell ref="A12:S12"/>
    <mergeCell ref="A23:H2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SKOR AKHIR DENGAN DEFUZZIFIKASI</t>
        </is>
      </c>
    </row>
    <row r="2">
      <c r="A2" s="36" t="inlineStr">
        <is>
          <t>Skor = (ΣL×w + ΣM×w + ΣU×w) / 3</t>
        </is>
      </c>
    </row>
    <row r="4">
      <c r="A4" s="37" t="inlineStr">
        <is>
          <t>BOBOT (Wi)</t>
        </is>
      </c>
    </row>
    <row r="5">
      <c r="A5" s="8" t="inlineStr">
        <is>
          <t>K1</t>
        </is>
      </c>
      <c r="B5" s="8" t="inlineStr">
        <is>
          <t>K2</t>
        </is>
      </c>
      <c r="C5" s="11" t="inlineStr">
        <is>
          <t>K3</t>
        </is>
      </c>
      <c r="D5" s="11" t="inlineStr">
        <is>
          <t>K4</t>
        </is>
      </c>
      <c r="E5" s="14" t="inlineStr">
        <is>
          <t>K5</t>
        </is>
      </c>
      <c r="F5" s="14" t="inlineStr">
        <is>
          <t>K6</t>
        </is>
      </c>
    </row>
    <row r="6">
      <c r="A6" s="33">
        <f>'Fuzzy AHP'!C45</f>
        <v/>
      </c>
      <c r="B6" s="33">
        <f>'Fuzzy AHP'!C46</f>
        <v/>
      </c>
      <c r="C6" s="33">
        <f>'Fuzzy AHP'!C47</f>
        <v/>
      </c>
      <c r="D6" s="33">
        <f>'Fuzzy AHP'!C48</f>
        <v/>
      </c>
      <c r="E6" s="33">
        <f>'Fuzzy AHP'!C49</f>
        <v/>
      </c>
      <c r="F6" s="33">
        <f>'Fuzzy AHP'!C50</f>
        <v/>
      </c>
    </row>
    <row r="8">
      <c r="A8" s="2" t="inlineStr">
        <is>
          <t>PERHITUNGAN SKOR (dengan Defuzzifikasi)</t>
        </is>
      </c>
    </row>
    <row r="9">
      <c r="A9" s="3" t="inlineStr">
        <is>
          <t>No</t>
        </is>
      </c>
      <c r="B9" s="3" t="inlineStr">
        <is>
          <t>Nama</t>
        </is>
      </c>
      <c r="C9" s="3" t="inlineStr">
        <is>
          <t>ΣL×w</t>
        </is>
      </c>
      <c r="D9" s="3" t="inlineStr">
        <is>
          <t>ΣM×w</t>
        </is>
      </c>
      <c r="E9" s="3" t="inlineStr">
        <is>
          <t>ΣU×w</t>
        </is>
      </c>
      <c r="F9" s="3" t="inlineStr">
        <is>
          <t>Skor</t>
        </is>
      </c>
      <c r="G9" s="3" t="inlineStr">
        <is>
          <t>Rank</t>
        </is>
      </c>
    </row>
    <row r="10">
      <c r="A10" s="5" t="n">
        <v>1</v>
      </c>
      <c r="B10" s="4">
        <f>'Input'!B14</f>
        <v/>
      </c>
      <c r="C10" s="38">
        <f>MAX(0,'Rekap Nilai'!C4-5)*$A$6+MAX(0,'Rekap Nilai'!D4-5)*$B$6+MAX(0,'Rekap Nilai'!E4-5)*$C$6+MAX(0,'Rekap Nilai'!F4-5)*$D$6+MAX(0,'Rekap Nilai'!G4-5)*$E$6+MAX(0,'Rekap Nilai'!H4-5)*$F$6</f>
        <v/>
      </c>
      <c r="D10" s="38">
        <f>'Rekap Nilai'!C4*$A$6+'Rekap Nilai'!D4*$B$6+'Rekap Nilai'!E4*$C$6+'Rekap Nilai'!F4*$D$6+'Rekap Nilai'!G4*$E$6+'Rekap Nilai'!H4*$F$6</f>
        <v/>
      </c>
      <c r="E10" s="38">
        <f>MIN(100,'Rekap Nilai'!C4+5)*$A$6+MIN(100,'Rekap Nilai'!D4+5)*$B$6+MIN(100,'Rekap Nilai'!E4+5)*$C$6+MIN(100,'Rekap Nilai'!F4+5)*$D$6+MIN(100,'Rekap Nilai'!G4+5)*$E$6+MIN(100,'Rekap Nilai'!H4+5)*$F$6</f>
        <v/>
      </c>
      <c r="F10" s="39">
        <f>(C10+D10+E10)/3</f>
        <v/>
      </c>
      <c r="G10" s="40">
        <f>IF(B10="","",RANK(F10,$F$10:$F$19,0))</f>
        <v/>
      </c>
    </row>
    <row r="11">
      <c r="A11" s="5" t="n">
        <v>2</v>
      </c>
      <c r="B11" s="4">
        <f>'Input'!B15</f>
        <v/>
      </c>
      <c r="C11" s="38">
        <f>MAX(0,'Rekap Nilai'!C5-5)*$A$6+MAX(0,'Rekap Nilai'!D5-5)*$B$6+MAX(0,'Rekap Nilai'!E5-5)*$C$6+MAX(0,'Rekap Nilai'!F5-5)*$D$6+MAX(0,'Rekap Nilai'!G5-5)*$E$6+MAX(0,'Rekap Nilai'!H5-5)*$F$6</f>
        <v/>
      </c>
      <c r="D11" s="38">
        <f>'Rekap Nilai'!C5*$A$6+'Rekap Nilai'!D5*$B$6+'Rekap Nilai'!E5*$C$6+'Rekap Nilai'!F5*$D$6+'Rekap Nilai'!G5*$E$6+'Rekap Nilai'!H5*$F$6</f>
        <v/>
      </c>
      <c r="E11" s="38">
        <f>MIN(100,'Rekap Nilai'!C5+5)*$A$6+MIN(100,'Rekap Nilai'!D5+5)*$B$6+MIN(100,'Rekap Nilai'!E5+5)*$C$6+MIN(100,'Rekap Nilai'!F5+5)*$D$6+MIN(100,'Rekap Nilai'!G5+5)*$E$6+MIN(100,'Rekap Nilai'!H5+5)*$F$6</f>
        <v/>
      </c>
      <c r="F11" s="39">
        <f>(C11+D11+E11)/3</f>
        <v/>
      </c>
      <c r="G11" s="40">
        <f>IF(B11="","",RANK(F11,$F$10:$F$19,0))</f>
        <v/>
      </c>
    </row>
    <row r="12">
      <c r="A12" s="5" t="n">
        <v>3</v>
      </c>
      <c r="B12" s="4">
        <f>'Input'!B16</f>
        <v/>
      </c>
      <c r="C12" s="38">
        <f>MAX(0,'Rekap Nilai'!C6-5)*$A$6+MAX(0,'Rekap Nilai'!D6-5)*$B$6+MAX(0,'Rekap Nilai'!E6-5)*$C$6+MAX(0,'Rekap Nilai'!F6-5)*$D$6+MAX(0,'Rekap Nilai'!G6-5)*$E$6+MAX(0,'Rekap Nilai'!H6-5)*$F$6</f>
        <v/>
      </c>
      <c r="D12" s="38">
        <f>'Rekap Nilai'!C6*$A$6+'Rekap Nilai'!D6*$B$6+'Rekap Nilai'!E6*$C$6+'Rekap Nilai'!F6*$D$6+'Rekap Nilai'!G6*$E$6+'Rekap Nilai'!H6*$F$6</f>
        <v/>
      </c>
      <c r="E12" s="38">
        <f>MIN(100,'Rekap Nilai'!C6+5)*$A$6+MIN(100,'Rekap Nilai'!D6+5)*$B$6+MIN(100,'Rekap Nilai'!E6+5)*$C$6+MIN(100,'Rekap Nilai'!F6+5)*$D$6+MIN(100,'Rekap Nilai'!G6+5)*$E$6+MIN(100,'Rekap Nilai'!H6+5)*$F$6</f>
        <v/>
      </c>
      <c r="F12" s="39">
        <f>(C12+D12+E12)/3</f>
        <v/>
      </c>
      <c r="G12" s="40">
        <f>IF(B12="","",RANK(F12,$F$10:$F$19,0))</f>
        <v/>
      </c>
    </row>
    <row r="13">
      <c r="A13" s="5" t="n">
        <v>4</v>
      </c>
      <c r="B13" s="4">
        <f>'Input'!B17</f>
        <v/>
      </c>
      <c r="C13" s="38">
        <f>MAX(0,'Rekap Nilai'!C7-5)*$A$6+MAX(0,'Rekap Nilai'!D7-5)*$B$6+MAX(0,'Rekap Nilai'!E7-5)*$C$6+MAX(0,'Rekap Nilai'!F7-5)*$D$6+MAX(0,'Rekap Nilai'!G7-5)*$E$6+MAX(0,'Rekap Nilai'!H7-5)*$F$6</f>
        <v/>
      </c>
      <c r="D13" s="38">
        <f>'Rekap Nilai'!C7*$A$6+'Rekap Nilai'!D7*$B$6+'Rekap Nilai'!E7*$C$6+'Rekap Nilai'!F7*$D$6+'Rekap Nilai'!G7*$E$6+'Rekap Nilai'!H7*$F$6</f>
        <v/>
      </c>
      <c r="E13" s="38">
        <f>MIN(100,'Rekap Nilai'!C7+5)*$A$6+MIN(100,'Rekap Nilai'!D7+5)*$B$6+MIN(100,'Rekap Nilai'!E7+5)*$C$6+MIN(100,'Rekap Nilai'!F7+5)*$D$6+MIN(100,'Rekap Nilai'!G7+5)*$E$6+MIN(100,'Rekap Nilai'!H7+5)*$F$6</f>
        <v/>
      </c>
      <c r="F13" s="39">
        <f>(C13+D13+E13)/3</f>
        <v/>
      </c>
      <c r="G13" s="40">
        <f>IF(B13="","",RANK(F13,$F$10:$F$19,0))</f>
        <v/>
      </c>
    </row>
    <row r="14">
      <c r="A14" s="5" t="n">
        <v>5</v>
      </c>
      <c r="B14" s="4">
        <f>'Input'!B18</f>
        <v/>
      </c>
      <c r="C14" s="38">
        <f>MAX(0,'Rekap Nilai'!C8-5)*$A$6+MAX(0,'Rekap Nilai'!D8-5)*$B$6+MAX(0,'Rekap Nilai'!E8-5)*$C$6+MAX(0,'Rekap Nilai'!F8-5)*$D$6+MAX(0,'Rekap Nilai'!G8-5)*$E$6+MAX(0,'Rekap Nilai'!H8-5)*$F$6</f>
        <v/>
      </c>
      <c r="D14" s="38">
        <f>'Rekap Nilai'!C8*$A$6+'Rekap Nilai'!D8*$B$6+'Rekap Nilai'!E8*$C$6+'Rekap Nilai'!F8*$D$6+'Rekap Nilai'!G8*$E$6+'Rekap Nilai'!H8*$F$6</f>
        <v/>
      </c>
      <c r="E14" s="38">
        <f>MIN(100,'Rekap Nilai'!C8+5)*$A$6+MIN(100,'Rekap Nilai'!D8+5)*$B$6+MIN(100,'Rekap Nilai'!E8+5)*$C$6+MIN(100,'Rekap Nilai'!F8+5)*$D$6+MIN(100,'Rekap Nilai'!G8+5)*$E$6+MIN(100,'Rekap Nilai'!H8+5)*$F$6</f>
        <v/>
      </c>
      <c r="F14" s="39">
        <f>(C14+D14+E14)/3</f>
        <v/>
      </c>
      <c r="G14" s="40">
        <f>IF(B14="","",RANK(F14,$F$10:$F$19,0))</f>
        <v/>
      </c>
    </row>
    <row r="15">
      <c r="A15" s="5" t="n">
        <v>6</v>
      </c>
      <c r="B15" s="4">
        <f>'Input'!B19</f>
        <v/>
      </c>
      <c r="C15" s="38">
        <f>MAX(0,'Rekap Nilai'!C9-5)*$A$6+MAX(0,'Rekap Nilai'!D9-5)*$B$6+MAX(0,'Rekap Nilai'!E9-5)*$C$6+MAX(0,'Rekap Nilai'!F9-5)*$D$6+MAX(0,'Rekap Nilai'!G9-5)*$E$6+MAX(0,'Rekap Nilai'!H9-5)*$F$6</f>
        <v/>
      </c>
      <c r="D15" s="38">
        <f>'Rekap Nilai'!C9*$A$6+'Rekap Nilai'!D9*$B$6+'Rekap Nilai'!E9*$C$6+'Rekap Nilai'!F9*$D$6+'Rekap Nilai'!G9*$E$6+'Rekap Nilai'!H9*$F$6</f>
        <v/>
      </c>
      <c r="E15" s="38">
        <f>MIN(100,'Rekap Nilai'!C9+5)*$A$6+MIN(100,'Rekap Nilai'!D9+5)*$B$6+MIN(100,'Rekap Nilai'!E9+5)*$C$6+MIN(100,'Rekap Nilai'!F9+5)*$D$6+MIN(100,'Rekap Nilai'!G9+5)*$E$6+MIN(100,'Rekap Nilai'!H9+5)*$F$6</f>
        <v/>
      </c>
      <c r="F15" s="39">
        <f>(C15+D15+E15)/3</f>
        <v/>
      </c>
      <c r="G15" s="40">
        <f>IF(B15="","",RANK(F15,$F$10:$F$19,0))</f>
        <v/>
      </c>
    </row>
    <row r="16">
      <c r="A16" s="5" t="n">
        <v>7</v>
      </c>
      <c r="B16" s="4">
        <f>'Input'!B20</f>
        <v/>
      </c>
      <c r="C16" s="38">
        <f>MAX(0,'Rekap Nilai'!C10-5)*$A$6+MAX(0,'Rekap Nilai'!D10-5)*$B$6+MAX(0,'Rekap Nilai'!E10-5)*$C$6+MAX(0,'Rekap Nilai'!F10-5)*$D$6+MAX(0,'Rekap Nilai'!G10-5)*$E$6+MAX(0,'Rekap Nilai'!H10-5)*$F$6</f>
        <v/>
      </c>
      <c r="D16" s="38">
        <f>'Rekap Nilai'!C10*$A$6+'Rekap Nilai'!D10*$B$6+'Rekap Nilai'!E10*$C$6+'Rekap Nilai'!F10*$D$6+'Rekap Nilai'!G10*$E$6+'Rekap Nilai'!H10*$F$6</f>
        <v/>
      </c>
      <c r="E16" s="38">
        <f>MIN(100,'Rekap Nilai'!C10+5)*$A$6+MIN(100,'Rekap Nilai'!D10+5)*$B$6+MIN(100,'Rekap Nilai'!E10+5)*$C$6+MIN(100,'Rekap Nilai'!F10+5)*$D$6+MIN(100,'Rekap Nilai'!G10+5)*$E$6+MIN(100,'Rekap Nilai'!H10+5)*$F$6</f>
        <v/>
      </c>
      <c r="F16" s="39">
        <f>(C16+D16+E16)/3</f>
        <v/>
      </c>
      <c r="G16" s="40">
        <f>IF(B16="","",RANK(F16,$F$10:$F$19,0))</f>
        <v/>
      </c>
    </row>
    <row r="17">
      <c r="A17" s="5" t="n">
        <v>8</v>
      </c>
      <c r="B17" s="4">
        <f>'Input'!B21</f>
        <v/>
      </c>
      <c r="C17" s="38">
        <f>MAX(0,'Rekap Nilai'!C11-5)*$A$6+MAX(0,'Rekap Nilai'!D11-5)*$B$6+MAX(0,'Rekap Nilai'!E11-5)*$C$6+MAX(0,'Rekap Nilai'!F11-5)*$D$6+MAX(0,'Rekap Nilai'!G11-5)*$E$6+MAX(0,'Rekap Nilai'!H11-5)*$F$6</f>
        <v/>
      </c>
      <c r="D17" s="38">
        <f>'Rekap Nilai'!C11*$A$6+'Rekap Nilai'!D11*$B$6+'Rekap Nilai'!E11*$C$6+'Rekap Nilai'!F11*$D$6+'Rekap Nilai'!G11*$E$6+'Rekap Nilai'!H11*$F$6</f>
        <v/>
      </c>
      <c r="E17" s="38">
        <f>MIN(100,'Rekap Nilai'!C11+5)*$A$6+MIN(100,'Rekap Nilai'!D11+5)*$B$6+MIN(100,'Rekap Nilai'!E11+5)*$C$6+MIN(100,'Rekap Nilai'!F11+5)*$D$6+MIN(100,'Rekap Nilai'!G11+5)*$E$6+MIN(100,'Rekap Nilai'!H11+5)*$F$6</f>
        <v/>
      </c>
      <c r="F17" s="39">
        <f>(C17+D17+E17)/3</f>
        <v/>
      </c>
      <c r="G17" s="40">
        <f>IF(B17="","",RANK(F17,$F$10:$F$19,0))</f>
        <v/>
      </c>
    </row>
    <row r="18">
      <c r="A18" s="5" t="n">
        <v>9</v>
      </c>
      <c r="B18" s="4">
        <f>'Input'!B22</f>
        <v/>
      </c>
      <c r="C18" s="38">
        <f>MAX(0,'Rekap Nilai'!C12-5)*$A$6+MAX(0,'Rekap Nilai'!D12-5)*$B$6+MAX(0,'Rekap Nilai'!E12-5)*$C$6+MAX(0,'Rekap Nilai'!F12-5)*$D$6+MAX(0,'Rekap Nilai'!G12-5)*$E$6+MAX(0,'Rekap Nilai'!H12-5)*$F$6</f>
        <v/>
      </c>
      <c r="D18" s="38">
        <f>'Rekap Nilai'!C12*$A$6+'Rekap Nilai'!D12*$B$6+'Rekap Nilai'!E12*$C$6+'Rekap Nilai'!F12*$D$6+'Rekap Nilai'!G12*$E$6+'Rekap Nilai'!H12*$F$6</f>
        <v/>
      </c>
      <c r="E18" s="38">
        <f>MIN(100,'Rekap Nilai'!C12+5)*$A$6+MIN(100,'Rekap Nilai'!D12+5)*$B$6+MIN(100,'Rekap Nilai'!E12+5)*$C$6+MIN(100,'Rekap Nilai'!F12+5)*$D$6+MIN(100,'Rekap Nilai'!G12+5)*$E$6+MIN(100,'Rekap Nilai'!H12+5)*$F$6</f>
        <v/>
      </c>
      <c r="F18" s="39">
        <f>(C18+D18+E18)/3</f>
        <v/>
      </c>
      <c r="G18" s="40">
        <f>IF(B18="","",RANK(F18,$F$10:$F$19,0))</f>
        <v/>
      </c>
    </row>
    <row r="19">
      <c r="A19" s="5" t="n">
        <v>10</v>
      </c>
      <c r="B19" s="4">
        <f>'Input'!B23</f>
        <v/>
      </c>
      <c r="C19" s="38">
        <f>MAX(0,'Rekap Nilai'!C13-5)*$A$6+MAX(0,'Rekap Nilai'!D13-5)*$B$6+MAX(0,'Rekap Nilai'!E13-5)*$C$6+MAX(0,'Rekap Nilai'!F13-5)*$D$6+MAX(0,'Rekap Nilai'!G13-5)*$E$6+MAX(0,'Rekap Nilai'!H13-5)*$F$6</f>
        <v/>
      </c>
      <c r="D19" s="38">
        <f>'Rekap Nilai'!C13*$A$6+'Rekap Nilai'!D13*$B$6+'Rekap Nilai'!E13*$C$6+'Rekap Nilai'!F13*$D$6+'Rekap Nilai'!G13*$E$6+'Rekap Nilai'!H13*$F$6</f>
        <v/>
      </c>
      <c r="E19" s="38">
        <f>MIN(100,'Rekap Nilai'!C13+5)*$A$6+MIN(100,'Rekap Nilai'!D13+5)*$B$6+MIN(100,'Rekap Nilai'!E13+5)*$C$6+MIN(100,'Rekap Nilai'!F13+5)*$D$6+MIN(100,'Rekap Nilai'!G13+5)*$E$6+MIN(100,'Rekap Nilai'!H13+5)*$F$6</f>
        <v/>
      </c>
      <c r="F19" s="39">
        <f>(C19+D19+E19)/3</f>
        <v/>
      </c>
      <c r="G19" s="40">
        <f>IF(B19="","",RANK(F19,$F$10:$F$19,0))</f>
        <v/>
      </c>
    </row>
  </sheetData>
  <mergeCells count="3">
    <mergeCell ref="A8:L8"/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2026-02-09T14:24:54Z</dcterms:created>
  <dcterms:modified xsi:type="dcterms:W3CDTF">2026-02-09T14:24:54Z</dcterms:modified>
</cp:coreProperties>
</file>