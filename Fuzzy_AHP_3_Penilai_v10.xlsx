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954326E7-C8BA-4098-AF53-FDBC69AFBD4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S11" i="7"/>
  <c r="R11" i="7"/>
  <c r="Q11" i="7"/>
  <c r="P10" i="7"/>
  <c r="O10" i="7"/>
  <c r="N10" i="7"/>
  <c r="M9" i="7"/>
  <c r="L9" i="7"/>
  <c r="K9" i="7"/>
  <c r="J8" i="7"/>
  <c r="I8" i="7"/>
  <c r="H8" i="7"/>
  <c r="G7" i="7"/>
  <c r="F7" i="7"/>
  <c r="E7" i="7"/>
  <c r="D6" i="7"/>
  <c r="C6" i="7"/>
  <c r="B6" i="7"/>
  <c r="F10" i="6"/>
  <c r="E10" i="6"/>
  <c r="D10" i="6"/>
  <c r="C10" i="6"/>
  <c r="B10" i="6"/>
  <c r="G9" i="6"/>
  <c r="E9" i="6"/>
  <c r="D9" i="6"/>
  <c r="C9" i="6"/>
  <c r="B9" i="6"/>
  <c r="G8" i="6"/>
  <c r="F8" i="6"/>
  <c r="D8" i="6"/>
  <c r="C8" i="6"/>
  <c r="B8" i="6"/>
  <c r="G7" i="6"/>
  <c r="F7" i="6"/>
  <c r="E7" i="6"/>
  <c r="C7" i="6"/>
  <c r="B7" i="6"/>
  <c r="G6" i="6"/>
  <c r="F6" i="6"/>
  <c r="E6" i="6"/>
  <c r="D6" i="6"/>
  <c r="B6" i="6"/>
  <c r="G5" i="6"/>
  <c r="F5" i="6"/>
  <c r="E5" i="6"/>
  <c r="D5" i="6"/>
  <c r="C5" i="6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S6" i="7" l="1"/>
  <c r="R6" i="7"/>
  <c r="Q6" i="7"/>
  <c r="P6" i="7"/>
  <c r="N6" i="7"/>
  <c r="O6" i="7"/>
  <c r="L6" i="7"/>
  <c r="M6" i="7"/>
  <c r="K6" i="7"/>
  <c r="I6" i="7"/>
  <c r="H6" i="7"/>
  <c r="J6" i="7"/>
  <c r="F6" i="7"/>
  <c r="B14" i="6"/>
  <c r="G6" i="7"/>
  <c r="E6" i="7"/>
  <c r="B16" i="7" s="1"/>
  <c r="P11" i="7"/>
  <c r="N11" i="7"/>
  <c r="O11" i="7"/>
  <c r="M11" i="7"/>
  <c r="L11" i="7"/>
  <c r="K11" i="7"/>
  <c r="H11" i="7"/>
  <c r="J11" i="7"/>
  <c r="I11" i="7"/>
  <c r="G11" i="7"/>
  <c r="F11" i="7"/>
  <c r="E11" i="7"/>
  <c r="B19" i="6"/>
  <c r="D11" i="7"/>
  <c r="D21" i="7" s="1"/>
  <c r="C11" i="7"/>
  <c r="B11" i="7"/>
  <c r="Q10" i="7"/>
  <c r="S10" i="7"/>
  <c r="R10" i="7"/>
  <c r="M10" i="7"/>
  <c r="L10" i="7"/>
  <c r="K10" i="7"/>
  <c r="J10" i="7"/>
  <c r="H10" i="7"/>
  <c r="I10" i="7"/>
  <c r="E10" i="7"/>
  <c r="G10" i="7"/>
  <c r="F10" i="7"/>
  <c r="C10" i="7"/>
  <c r="D10" i="7"/>
  <c r="B10" i="7"/>
  <c r="B18" i="6"/>
  <c r="Q9" i="7"/>
  <c r="S9" i="7"/>
  <c r="R9" i="7"/>
  <c r="P9" i="7"/>
  <c r="N9" i="7"/>
  <c r="O9" i="7"/>
  <c r="H9" i="7"/>
  <c r="I9" i="7"/>
  <c r="J9" i="7"/>
  <c r="E9" i="7"/>
  <c r="F9" i="7"/>
  <c r="G9" i="7"/>
  <c r="B17" i="6"/>
  <c r="D9" i="7"/>
  <c r="C9" i="7"/>
  <c r="C19" i="7" s="1"/>
  <c r="B9" i="7"/>
  <c r="Q8" i="7"/>
  <c r="S8" i="7"/>
  <c r="R8" i="7"/>
  <c r="O8" i="7"/>
  <c r="P8" i="7"/>
  <c r="N8" i="7"/>
  <c r="K8" i="7"/>
  <c r="M8" i="7"/>
  <c r="L8" i="7"/>
  <c r="F8" i="7"/>
  <c r="E8" i="7"/>
  <c r="G8" i="7"/>
  <c r="B16" i="6"/>
  <c r="D8" i="7"/>
  <c r="C8" i="7"/>
  <c r="C18" i="7" s="1"/>
  <c r="B8" i="7"/>
  <c r="S7" i="7"/>
  <c r="R7" i="7"/>
  <c r="Q7" i="7"/>
  <c r="P7" i="7"/>
  <c r="O7" i="7"/>
  <c r="N7" i="7"/>
  <c r="M7" i="7"/>
  <c r="L7" i="7"/>
  <c r="K7" i="7"/>
  <c r="J7" i="7"/>
  <c r="H7" i="7"/>
  <c r="I7" i="7"/>
  <c r="B15" i="6"/>
  <c r="B7" i="7"/>
  <c r="C7" i="7"/>
  <c r="D7" i="7"/>
  <c r="B19" i="7" l="1"/>
  <c r="C16" i="7"/>
  <c r="B20" i="6"/>
  <c r="B20" i="7"/>
  <c r="D16" i="7"/>
  <c r="C21" i="7"/>
  <c r="B18" i="7"/>
  <c r="D19" i="7"/>
  <c r="B17" i="7"/>
  <c r="C17" i="7"/>
  <c r="D17" i="7"/>
  <c r="C20" i="7"/>
  <c r="D20" i="7"/>
  <c r="B21" i="7"/>
  <c r="D18" i="7"/>
  <c r="C17" i="6" l="1"/>
  <c r="C15" i="6"/>
  <c r="C19" i="6"/>
  <c r="C14" i="6"/>
  <c r="B24" i="6" s="1"/>
  <c r="C24" i="6" s="1"/>
  <c r="C16" i="6"/>
  <c r="C20" i="6" s="1"/>
  <c r="C18" i="6"/>
  <c r="D22" i="7"/>
  <c r="C22" i="7"/>
  <c r="C30" i="7"/>
  <c r="C28" i="7"/>
  <c r="C27" i="7"/>
  <c r="C29" i="7"/>
  <c r="B22" i="7"/>
  <c r="B27" i="7"/>
  <c r="B28" i="7"/>
  <c r="B25" i="6"/>
  <c r="C25" i="6" s="1"/>
  <c r="B26" i="6"/>
  <c r="C26" i="6" s="1"/>
  <c r="B27" i="6"/>
  <c r="C27" i="6" s="1"/>
  <c r="B28" i="6"/>
  <c r="C28" i="6" s="1"/>
  <c r="B29" i="6"/>
  <c r="C29" i="6" s="1"/>
  <c r="F38" i="7"/>
  <c r="E38" i="7"/>
  <c r="D38" i="7"/>
  <c r="E41" i="7"/>
  <c r="B29" i="7" l="1"/>
  <c r="B30" i="7"/>
  <c r="B31" i="7"/>
  <c r="B26" i="7"/>
  <c r="C31" i="7"/>
  <c r="C26" i="7"/>
  <c r="D31" i="7"/>
  <c r="D30" i="7"/>
  <c r="D29" i="7"/>
  <c r="D40" i="7" s="1"/>
  <c r="D28" i="7"/>
  <c r="D27" i="7"/>
  <c r="D26" i="7"/>
  <c r="B31" i="6"/>
  <c r="B32" i="6" s="1"/>
  <c r="B34" i="6" s="1"/>
  <c r="B35" i="6" s="1"/>
  <c r="B42" i="7" l="1"/>
  <c r="F42" i="7"/>
  <c r="G38" i="7"/>
  <c r="E42" i="7"/>
  <c r="G41" i="7"/>
  <c r="F37" i="7"/>
  <c r="B38" i="7"/>
  <c r="B47" i="7" s="1"/>
  <c r="E37" i="7"/>
  <c r="G37" i="7"/>
  <c r="B41" i="7"/>
  <c r="C42" i="7"/>
  <c r="D42" i="7"/>
  <c r="B51" i="7" s="1"/>
  <c r="C41" i="7"/>
  <c r="D41" i="7"/>
  <c r="C37" i="7"/>
  <c r="D37" i="7"/>
  <c r="B46" i="7" s="1"/>
  <c r="C40" i="7"/>
  <c r="B40" i="7"/>
  <c r="F40" i="7"/>
  <c r="G40" i="7"/>
  <c r="B39" i="7"/>
  <c r="E39" i="7"/>
  <c r="F39" i="7"/>
  <c r="G39" i="7"/>
  <c r="C39" i="7"/>
  <c r="B50" i="7" l="1"/>
  <c r="B49" i="7"/>
  <c r="B48" i="7"/>
  <c r="B57" i="7" l="1"/>
  <c r="B7" i="8" s="1"/>
  <c r="B58" i="7"/>
  <c r="C7" i="8" s="1"/>
  <c r="B60" i="7"/>
  <c r="E7" i="8" s="1"/>
  <c r="B61" i="7"/>
  <c r="F7" i="8" s="1"/>
  <c r="B56" i="7"/>
  <c r="B59" i="7"/>
  <c r="D7" i="8" s="1"/>
  <c r="B62" i="7" l="1"/>
  <c r="A7" i="8"/>
  <c r="E20" i="8" l="1"/>
  <c r="C16" i="8"/>
  <c r="C17" i="8"/>
  <c r="E17" i="8"/>
  <c r="C15" i="8"/>
  <c r="D14" i="8"/>
  <c r="C13" i="8"/>
  <c r="C12" i="8"/>
  <c r="E19" i="8"/>
  <c r="D17" i="8"/>
  <c r="D15" i="8"/>
  <c r="C14" i="8"/>
  <c r="E13" i="8"/>
  <c r="D12" i="8"/>
  <c r="D11" i="8"/>
  <c r="D20" i="8"/>
  <c r="C20" i="8"/>
  <c r="C19" i="8"/>
  <c r="D19" i="8"/>
  <c r="D18" i="8"/>
  <c r="C18" i="8"/>
  <c r="E16" i="8"/>
  <c r="E14" i="8"/>
  <c r="D13" i="8"/>
  <c r="E11" i="8"/>
  <c r="E18" i="8"/>
  <c r="D16" i="8"/>
  <c r="E15" i="8"/>
  <c r="E12" i="8"/>
  <c r="C11" i="8"/>
  <c r="F11" i="8" l="1"/>
  <c r="F16" i="8"/>
  <c r="F15" i="8"/>
  <c r="F18" i="8"/>
  <c r="F13" i="8"/>
  <c r="F12" i="8"/>
  <c r="F14" i="8"/>
  <c r="F20" i="8"/>
  <c r="F19" i="8"/>
  <c r="F17" i="8"/>
  <c r="G19" i="8" l="1"/>
  <c r="G15" i="8"/>
  <c r="G11" i="8"/>
  <c r="G16" i="8"/>
  <c r="G18" i="8"/>
  <c r="G12" i="8"/>
  <c r="G17" i="8"/>
  <c r="G13" i="8"/>
  <c r="G14" i="8"/>
  <c r="G20" i="8"/>
</calcChain>
</file>

<file path=xl/sharedStrings.xml><?xml version="1.0" encoding="utf-8"?>
<sst xmlns="http://schemas.openxmlformats.org/spreadsheetml/2006/main" count="227" uniqueCount="84">
  <si>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</si>
  <si>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</si>
  <si>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</si>
  <si>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</si>
  <si>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</si>
  <si>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</si>
  <si>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</si>
  <si>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</si>
  <si>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</si>
  <si>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</si>
  <si>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</si>
  <si>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</si>
  <si>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</si>
  <si>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</si>
  <si>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</si>
  <si>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</si>
  <si>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</si>
  <si>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</si>
  <si>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</si>
  <si>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</si>
  <si>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</si>
  <si>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</si>
  <si>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</si>
  <si>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</si>
  <si>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</si>
  <si>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</si>
  <si>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</si>
  <si>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</si>
  <si>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</si>
  <si>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</si>
  <si>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(Semua Kriteria K1-K6)</t>
  </si>
  <si>
    <t>INPUT PENILAI 2 (Semua Kriteria K1-K6)</t>
  </si>
  <si>
    <t>INPUT PENILAI 3 (Semua Kriteria K1-K6)</t>
  </si>
  <si>
    <t>REKAP NILAI (RATA-RATA 3 PENILAI)</t>
  </si>
  <si>
    <t>Nilai = AVERAGE(Penilai1, Penilai2, Penilai3) per kriteria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</si>
  <si>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</si>
  <si>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</si>
  <si>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</si>
  <si>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</si>
  <si>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</si>
  <si>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</si>
  <si>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</si>
  <si>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</si>
  <si>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</si>
  <si>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</si>
  <si>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</si>
  <si>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</si>
  <si>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</si>
  <si>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</si>
  <si>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</si>
  <si>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</si>
  <si>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Key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</si>
  <si>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</si>
  <si>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</si>
  <si>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</si>
  <si>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</si>
  <si>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</si>
  <si>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</si>
  <si>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</si>
  <si>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</si>
  <si>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</si>
  <si>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</si>
  <si>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</si>
  <si>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</si>
  <si>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</si>
  <si>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</si>
  <si>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</si>
  <si>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</si>
  <si>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</si>
  <si>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</si>
  <si>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</si>
  <si>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</si>
  <si>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</si>
  <si>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</si>
  <si>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</si>
  <si>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</si>
  <si>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= Wi dari Langkah 6 (Fuzzy AHP). Fuzzy: nilai&lt;=5 → Likert TFN, nilai&gt;5 → (nilai-5, nilai, nilai+5)</t>
  </si>
  <si>
    <t>BOBOT (Wi dari Fuzzy AHP)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</si>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</sst>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b/>
      <sz val="11"/>
      <color rgb="FF0D9488"/>
      <name val="Calibri"/>
    </font>
    <font>
      <i/>
      <sz val="11"/>
      <name val="Calibri"/>
    </font>
    <font>
      <i/>
      <sz val="9"/>
      <color rgb="FF66666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0" xfId="0" applyFont="1"/>
    <xf numFmtId="2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2" fontId="10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8" fillId="0" borderId="0" xfId="0" applyFont="1"/>
    <xf numFmtId="0" fontId="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6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C5" sqref="C5:C10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8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5</v>
      </c>
    </row>
    <row r="6" spans="1:4" x14ac:dyDescent="0.3">
      <c r="A6" s="3" t="s">
        <v>7</v>
      </c>
      <c r="B6" s="4" t="s">
        <v>8</v>
      </c>
      <c r="C6" s="5">
        <v>8</v>
      </c>
    </row>
    <row r="7" spans="1:4" x14ac:dyDescent="0.3">
      <c r="A7" s="3" t="s">
        <v>9</v>
      </c>
      <c r="B7" s="4" t="s">
        <v>10</v>
      </c>
      <c r="C7" s="5">
        <v>7</v>
      </c>
    </row>
    <row r="8" spans="1:4" x14ac:dyDescent="0.3">
      <c r="A8" s="3" t="s">
        <v>11</v>
      </c>
      <c r="B8" s="4" t="s">
        <v>12</v>
      </c>
      <c r="C8" s="5">
        <v>2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8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0" t="s">
        <v>30</v>
      </c>
      <c r="B1" s="39"/>
      <c r="C1" s="39"/>
      <c r="D1" s="39"/>
      <c r="E1" s="39"/>
      <c r="F1" s="39"/>
      <c r="G1" s="39"/>
      <c r="H1" s="39"/>
    </row>
    <row r="3" spans="1:8" x14ac:dyDescent="0.3">
      <c r="A3" s="6" t="s">
        <v>18</v>
      </c>
      <c r="B3" s="6" t="s">
        <v>19</v>
      </c>
      <c r="C3" s="6" t="s">
        <v>5</v>
      </c>
      <c r="D3" s="6" t="s">
        <v>7</v>
      </c>
      <c r="E3" s="6" t="s">
        <v>9</v>
      </c>
      <c r="F3" s="6" t="s">
        <v>11</v>
      </c>
      <c r="G3" s="6" t="s">
        <v>13</v>
      </c>
      <c r="H3" s="6" t="s">
        <v>15</v>
      </c>
    </row>
    <row r="4" spans="1:8" x14ac:dyDescent="0.3">
      <c r="A4" s="4">
        <v>1</v>
      </c>
      <c r="B4" s="7" t="str">
        <f>Input!B14</f>
        <v>David Kulian</v>
      </c>
      <c r="C4" s="5">
        <v>4</v>
      </c>
      <c r="D4" s="5">
        <v>5</v>
      </c>
      <c r="E4" s="5">
        <v>3</v>
      </c>
      <c r="F4" s="5">
        <v>4</v>
      </c>
      <c r="G4" s="5">
        <v>4</v>
      </c>
      <c r="H4" s="5">
        <v>88</v>
      </c>
    </row>
    <row r="5" spans="1:8" x14ac:dyDescent="0.3">
      <c r="A5" s="4">
        <v>2</v>
      </c>
      <c r="B5" s="7" t="str">
        <f>Input!B15</f>
        <v>Siti Aminah</v>
      </c>
      <c r="C5" s="5">
        <v>78</v>
      </c>
      <c r="D5" s="5">
        <v>82</v>
      </c>
      <c r="E5" s="5">
        <v>82</v>
      </c>
      <c r="F5" s="5">
        <v>88</v>
      </c>
      <c r="G5" s="5">
        <v>80</v>
      </c>
      <c r="H5" s="5">
        <v>78</v>
      </c>
    </row>
    <row r="6" spans="1:8" x14ac:dyDescent="0.3">
      <c r="A6" s="4">
        <v>3</v>
      </c>
      <c r="B6" s="7" t="str">
        <f>Input!B16</f>
        <v>Budi Santoso</v>
      </c>
      <c r="C6" s="5">
        <v>92</v>
      </c>
      <c r="D6" s="5">
        <v>88</v>
      </c>
      <c r="E6" s="5">
        <v>90</v>
      </c>
      <c r="F6" s="5">
        <v>85</v>
      </c>
      <c r="G6" s="5">
        <v>88</v>
      </c>
      <c r="H6" s="5">
        <v>90</v>
      </c>
    </row>
    <row r="7" spans="1:8" x14ac:dyDescent="0.3">
      <c r="A7" s="4">
        <v>4</v>
      </c>
      <c r="B7" s="7" t="str">
        <f>Input!B17</f>
        <v>Dewi Lestari</v>
      </c>
      <c r="C7" s="5">
        <v>80</v>
      </c>
      <c r="D7" s="5">
        <v>85</v>
      </c>
      <c r="E7" s="5">
        <v>85</v>
      </c>
      <c r="F7" s="5">
        <v>90</v>
      </c>
      <c r="G7" s="5">
        <v>82</v>
      </c>
      <c r="H7" s="5">
        <v>80</v>
      </c>
    </row>
    <row r="8" spans="1:8" x14ac:dyDescent="0.3">
      <c r="A8" s="4">
        <v>5</v>
      </c>
      <c r="B8" s="7" t="str">
        <f>Input!B18</f>
        <v>Ahmad Fauzi</v>
      </c>
      <c r="C8" s="5">
        <v>88</v>
      </c>
      <c r="D8" s="5">
        <v>90</v>
      </c>
      <c r="E8" s="5">
        <v>87</v>
      </c>
      <c r="F8" s="5">
        <v>80</v>
      </c>
      <c r="G8" s="5">
        <v>90</v>
      </c>
      <c r="H8" s="5">
        <v>88</v>
      </c>
    </row>
    <row r="9" spans="1:8" x14ac:dyDescent="0.3">
      <c r="A9" s="4">
        <v>6</v>
      </c>
      <c r="B9" s="7" t="str">
        <f>Input!B19</f>
        <v>Rina Wati</v>
      </c>
      <c r="C9" s="5">
        <v>75</v>
      </c>
      <c r="D9" s="5">
        <v>80</v>
      </c>
      <c r="E9" s="5">
        <v>80</v>
      </c>
      <c r="F9" s="5">
        <v>85</v>
      </c>
      <c r="G9" s="5">
        <v>85</v>
      </c>
      <c r="H9" s="5">
        <v>82</v>
      </c>
    </row>
    <row r="10" spans="1:8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  <c r="E10" s="5">
        <v>88</v>
      </c>
      <c r="F10" s="5">
        <v>82</v>
      </c>
      <c r="G10" s="5">
        <v>80</v>
      </c>
      <c r="H10" s="5">
        <v>85</v>
      </c>
    </row>
    <row r="11" spans="1:8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  <c r="E11" s="5">
        <v>85</v>
      </c>
      <c r="F11" s="5">
        <v>88</v>
      </c>
      <c r="G11" s="5">
        <v>88</v>
      </c>
      <c r="H11" s="5">
        <v>92</v>
      </c>
    </row>
    <row r="12" spans="1:8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  <c r="E12" s="5">
        <v>82</v>
      </c>
      <c r="F12" s="5">
        <v>85</v>
      </c>
      <c r="G12" s="5">
        <v>85</v>
      </c>
      <c r="H12" s="5">
        <v>80</v>
      </c>
    </row>
    <row r="13" spans="1:8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  <c r="E13" s="5">
        <v>85</v>
      </c>
      <c r="F13" s="5">
        <v>90</v>
      </c>
      <c r="G13" s="5">
        <v>82</v>
      </c>
      <c r="H13" s="5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1" t="s">
        <v>31</v>
      </c>
      <c r="B1" s="39"/>
      <c r="C1" s="39"/>
      <c r="D1" s="39"/>
      <c r="E1" s="39"/>
      <c r="F1" s="39"/>
      <c r="G1" s="39"/>
      <c r="H1" s="39"/>
    </row>
    <row r="3" spans="1:8" x14ac:dyDescent="0.3">
      <c r="A3" s="8" t="s">
        <v>18</v>
      </c>
      <c r="B3" s="8" t="s">
        <v>19</v>
      </c>
      <c r="C3" s="8" t="s">
        <v>5</v>
      </c>
      <c r="D3" s="8" t="s">
        <v>7</v>
      </c>
      <c r="E3" s="8" t="s">
        <v>9</v>
      </c>
      <c r="F3" s="8" t="s">
        <v>11</v>
      </c>
      <c r="G3" s="8" t="s">
        <v>13</v>
      </c>
      <c r="H3" s="8" t="s">
        <v>15</v>
      </c>
    </row>
    <row r="4" spans="1:8" x14ac:dyDescent="0.3">
      <c r="A4" s="4">
        <v>1</v>
      </c>
      <c r="B4" s="9" t="str">
        <f>Input!B14</f>
        <v>David Kulian</v>
      </c>
      <c r="C4" s="5">
        <v>4</v>
      </c>
      <c r="D4" s="5">
        <v>4</v>
      </c>
      <c r="E4" s="5">
        <v>3</v>
      </c>
      <c r="F4" s="5">
        <v>5</v>
      </c>
      <c r="G4" s="5">
        <v>4</v>
      </c>
      <c r="H4" s="5">
        <v>88</v>
      </c>
    </row>
    <row r="5" spans="1:8" x14ac:dyDescent="0.3">
      <c r="A5" s="4">
        <v>2</v>
      </c>
      <c r="B5" s="9" t="str">
        <f>Input!B15</f>
        <v>Siti Aminah</v>
      </c>
      <c r="C5" s="5">
        <v>82</v>
      </c>
      <c r="D5" s="5">
        <v>85</v>
      </c>
      <c r="E5" s="5">
        <v>88</v>
      </c>
      <c r="F5" s="5">
        <v>85</v>
      </c>
      <c r="G5" s="5">
        <v>82</v>
      </c>
      <c r="H5" s="5">
        <v>80</v>
      </c>
    </row>
    <row r="6" spans="1:8" x14ac:dyDescent="0.3">
      <c r="A6" s="4">
        <v>3</v>
      </c>
      <c r="B6" s="9" t="str">
        <f>Input!B16</f>
        <v>Budi Santoso</v>
      </c>
      <c r="C6" s="5">
        <v>90</v>
      </c>
      <c r="D6" s="5">
        <v>82</v>
      </c>
      <c r="E6" s="5">
        <v>85</v>
      </c>
      <c r="F6" s="5">
        <v>90</v>
      </c>
      <c r="G6" s="5">
        <v>90</v>
      </c>
      <c r="H6" s="5">
        <v>88</v>
      </c>
    </row>
    <row r="7" spans="1:8" x14ac:dyDescent="0.3">
      <c r="A7" s="4">
        <v>4</v>
      </c>
      <c r="B7" s="9" t="str">
        <f>Input!B17</f>
        <v>Dewi Lestari</v>
      </c>
      <c r="C7" s="5">
        <v>85</v>
      </c>
      <c r="D7" s="5">
        <v>88</v>
      </c>
      <c r="E7" s="5">
        <v>90</v>
      </c>
      <c r="F7" s="5">
        <v>85</v>
      </c>
      <c r="G7" s="5">
        <v>80</v>
      </c>
      <c r="H7" s="5">
        <v>82</v>
      </c>
    </row>
    <row r="8" spans="1:8" x14ac:dyDescent="0.3">
      <c r="A8" s="4">
        <v>5</v>
      </c>
      <c r="B8" s="9" t="str">
        <f>Input!B18</f>
        <v>Ahmad Fauzi</v>
      </c>
      <c r="C8" s="5">
        <v>87</v>
      </c>
      <c r="D8" s="5">
        <v>90</v>
      </c>
      <c r="E8" s="5">
        <v>80</v>
      </c>
      <c r="F8" s="5">
        <v>87</v>
      </c>
      <c r="G8" s="5">
        <v>88</v>
      </c>
      <c r="H8" s="5">
        <v>90</v>
      </c>
    </row>
    <row r="9" spans="1:8" x14ac:dyDescent="0.3">
      <c r="A9" s="4">
        <v>6</v>
      </c>
      <c r="B9" s="9" t="str">
        <f>Input!B19</f>
        <v>Rina Wati</v>
      </c>
      <c r="C9" s="5">
        <v>80</v>
      </c>
      <c r="D9" s="5">
        <v>78</v>
      </c>
      <c r="E9" s="5">
        <v>85</v>
      </c>
      <c r="F9" s="5">
        <v>80</v>
      </c>
      <c r="G9" s="5">
        <v>82</v>
      </c>
      <c r="H9" s="5">
        <v>85</v>
      </c>
    </row>
    <row r="10" spans="1:8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  <c r="E10" s="5">
        <v>82</v>
      </c>
      <c r="F10" s="5">
        <v>88</v>
      </c>
      <c r="G10" s="5">
        <v>85</v>
      </c>
      <c r="H10" s="5">
        <v>80</v>
      </c>
    </row>
    <row r="11" spans="1:8" x14ac:dyDescent="0.3">
      <c r="A11" s="4">
        <v>8</v>
      </c>
      <c r="B11" s="9" t="str">
        <f>Input!B21</f>
        <v>Maya Sari</v>
      </c>
      <c r="C11" s="5">
        <v>85</v>
      </c>
      <c r="D11" s="5">
        <v>90</v>
      </c>
      <c r="E11" s="5">
        <v>88</v>
      </c>
      <c r="F11" s="5">
        <v>85</v>
      </c>
      <c r="G11" s="5">
        <v>92</v>
      </c>
      <c r="H11" s="5">
        <v>88</v>
      </c>
    </row>
    <row r="12" spans="1:8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  <c r="E12" s="5">
        <v>85</v>
      </c>
      <c r="F12" s="5">
        <v>82</v>
      </c>
      <c r="G12" s="5">
        <v>80</v>
      </c>
      <c r="H12" s="5">
        <v>85</v>
      </c>
    </row>
    <row r="13" spans="1:8" x14ac:dyDescent="0.3">
      <c r="A13" s="4">
        <v>10</v>
      </c>
      <c r="B13" s="9" t="str">
        <f>Input!B23</f>
        <v>Lina Marlina</v>
      </c>
      <c r="C13" s="5">
        <v>85</v>
      </c>
      <c r="D13" s="5">
        <v>82</v>
      </c>
      <c r="E13" s="5">
        <v>90</v>
      </c>
      <c r="F13" s="5">
        <v>85</v>
      </c>
      <c r="G13" s="5">
        <v>85</v>
      </c>
      <c r="H13" s="5">
        <v>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2" t="s">
        <v>32</v>
      </c>
      <c r="B1" s="39"/>
      <c r="C1" s="39"/>
      <c r="D1" s="39"/>
      <c r="E1" s="39"/>
      <c r="F1" s="39"/>
      <c r="G1" s="39"/>
      <c r="H1" s="39"/>
    </row>
    <row r="3" spans="1:8" x14ac:dyDescent="0.3">
      <c r="A3" s="10" t="s">
        <v>18</v>
      </c>
      <c r="B3" s="10" t="s">
        <v>19</v>
      </c>
      <c r="C3" s="10" t="s">
        <v>5</v>
      </c>
      <c r="D3" s="10" t="s">
        <v>7</v>
      </c>
      <c r="E3" s="10" t="s">
        <v>9</v>
      </c>
      <c r="F3" s="10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11" t="str">
        <f>Input!B14</f>
        <v>David Kulian</v>
      </c>
      <c r="C4" s="5">
        <v>3</v>
      </c>
      <c r="D4" s="5">
        <v>4</v>
      </c>
      <c r="E4" s="5">
        <v>5</v>
      </c>
      <c r="F4" s="5">
        <v>4</v>
      </c>
      <c r="G4" s="5">
        <v>4</v>
      </c>
      <c r="H4" s="5">
        <v>88</v>
      </c>
    </row>
    <row r="5" spans="1:8" x14ac:dyDescent="0.3">
      <c r="A5" s="4">
        <v>2</v>
      </c>
      <c r="B5" s="11" t="str">
        <f>Input!B15</f>
        <v>Siti Aminah</v>
      </c>
      <c r="C5" s="5">
        <v>80</v>
      </c>
      <c r="D5" s="5">
        <v>80</v>
      </c>
      <c r="E5" s="5">
        <v>78</v>
      </c>
      <c r="F5" s="5">
        <v>82</v>
      </c>
      <c r="G5" s="5">
        <v>78</v>
      </c>
      <c r="H5" s="5">
        <v>80</v>
      </c>
    </row>
    <row r="6" spans="1:8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  <c r="E6" s="5">
        <v>90</v>
      </c>
      <c r="F6" s="5">
        <v>88</v>
      </c>
      <c r="G6" s="5">
        <v>90</v>
      </c>
      <c r="H6" s="5">
        <v>88</v>
      </c>
    </row>
    <row r="7" spans="1:8" x14ac:dyDescent="0.3">
      <c r="A7" s="4">
        <v>4</v>
      </c>
      <c r="B7" s="11" t="str">
        <f>Input!B17</f>
        <v>Dewi Lestari</v>
      </c>
      <c r="C7" s="5">
        <v>82</v>
      </c>
      <c r="D7" s="5">
        <v>85</v>
      </c>
      <c r="E7" s="5">
        <v>80</v>
      </c>
      <c r="F7" s="5">
        <v>88</v>
      </c>
      <c r="G7" s="5">
        <v>80</v>
      </c>
      <c r="H7" s="5">
        <v>82</v>
      </c>
    </row>
    <row r="8" spans="1:8" x14ac:dyDescent="0.3">
      <c r="A8" s="4">
        <v>5</v>
      </c>
      <c r="B8" s="11" t="str">
        <f>Input!B18</f>
        <v>Ahmad Fauzi</v>
      </c>
      <c r="C8" s="5">
        <v>90</v>
      </c>
      <c r="D8" s="5">
        <v>88</v>
      </c>
      <c r="E8" s="5">
        <v>88</v>
      </c>
      <c r="F8" s="5">
        <v>85</v>
      </c>
      <c r="G8" s="5">
        <v>90</v>
      </c>
      <c r="H8" s="5">
        <v>87</v>
      </c>
    </row>
    <row r="9" spans="1:8" x14ac:dyDescent="0.3">
      <c r="A9" s="4">
        <v>6</v>
      </c>
      <c r="B9" s="11" t="str">
        <f>Input!B19</f>
        <v>Rina Wati</v>
      </c>
      <c r="C9" s="5">
        <v>85</v>
      </c>
      <c r="D9" s="5">
        <v>82</v>
      </c>
      <c r="E9" s="5">
        <v>82</v>
      </c>
      <c r="F9" s="5">
        <v>78</v>
      </c>
      <c r="G9" s="5">
        <v>82</v>
      </c>
      <c r="H9" s="5">
        <v>80</v>
      </c>
    </row>
    <row r="10" spans="1:8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  <c r="E10" s="5">
        <v>85</v>
      </c>
      <c r="F10" s="5">
        <v>80</v>
      </c>
      <c r="G10" s="5">
        <v>85</v>
      </c>
      <c r="H10" s="5">
        <v>82</v>
      </c>
    </row>
    <row r="11" spans="1:8" x14ac:dyDescent="0.3">
      <c r="A11" s="4">
        <v>8</v>
      </c>
      <c r="B11" s="11" t="str">
        <f>Input!B21</f>
        <v>Maya Sari</v>
      </c>
      <c r="C11" s="5">
        <v>88</v>
      </c>
      <c r="D11" s="5">
        <v>88</v>
      </c>
      <c r="E11" s="5">
        <v>92</v>
      </c>
      <c r="F11" s="5">
        <v>90</v>
      </c>
      <c r="G11" s="5">
        <v>88</v>
      </c>
      <c r="H11" s="5">
        <v>90</v>
      </c>
    </row>
    <row r="12" spans="1:8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  <c r="E12" s="5">
        <v>80</v>
      </c>
      <c r="F12" s="5">
        <v>85</v>
      </c>
      <c r="G12" s="5">
        <v>80</v>
      </c>
      <c r="H12" s="5">
        <v>82</v>
      </c>
    </row>
    <row r="13" spans="1:8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  <c r="E13" s="5">
        <v>85</v>
      </c>
      <c r="F13" s="5">
        <v>82</v>
      </c>
      <c r="G13" s="5">
        <v>85</v>
      </c>
      <c r="H13" s="5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tabSelected="1" workbookViewId="0">
      <selection activeCell="J18" sqref="J18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4" t="s">
        <v>33</v>
      </c>
      <c r="B1" s="39"/>
      <c r="C1" s="39"/>
      <c r="D1" s="39"/>
      <c r="E1" s="39"/>
      <c r="F1" s="39"/>
      <c r="G1" s="39"/>
      <c r="H1" s="39"/>
    </row>
    <row r="2" spans="1:8" x14ac:dyDescent="0.3">
      <c r="A2" s="43" t="s">
        <v>34</v>
      </c>
      <c r="B2" s="39"/>
      <c r="C2" s="39"/>
      <c r="D2" s="39"/>
      <c r="E2" s="39"/>
      <c r="F2" s="39"/>
      <c r="G2" s="39"/>
      <c r="H2" s="39"/>
    </row>
    <row r="4" spans="1:8" x14ac:dyDescent="0.3">
      <c r="A4" s="2" t="s">
        <v>18</v>
      </c>
      <c r="B4" s="2" t="s">
        <v>19</v>
      </c>
      <c r="C4" s="2" t="s">
        <v>5</v>
      </c>
      <c r="D4" s="2" t="s">
        <v>7</v>
      </c>
      <c r="E4" s="2" t="s">
        <v>9</v>
      </c>
      <c r="F4" s="2" t="s">
        <v>11</v>
      </c>
      <c r="G4" s="2" t="s">
        <v>13</v>
      </c>
      <c r="H4" s="2" t="s">
        <v>15</v>
      </c>
    </row>
    <row r="5" spans="1:8" x14ac:dyDescent="0.3">
      <c r="A5" s="4">
        <v>1</v>
      </c>
      <c r="B5" s="3" t="str">
        <f>Input!B14</f>
        <v>David Kulian</v>
      </c>
      <c r="C5" s="13">
        <f>AVERAGE('Penilai 1'!C4,'Penilai 2'!C4,'Penilai 3'!C4)</f>
        <v>3.6666666666666665</v>
      </c>
      <c r="D5" s="13">
        <f>AVERAGE('Penilai 1'!D4,'Penilai 2'!D4,'Penilai 3'!D4)</f>
        <v>4.333333333333333</v>
      </c>
      <c r="E5" s="13">
        <f>AVERAGE('Penilai 1'!E4,'Penilai 2'!E4,'Penilai 3'!E4)</f>
        <v>3.6666666666666665</v>
      </c>
      <c r="F5" s="13">
        <f>AVERAGE('Penilai 1'!F4,'Penilai 2'!F4,'Penilai 3'!F4)</f>
        <v>4.333333333333333</v>
      </c>
      <c r="G5" s="13">
        <f>AVERAGE('Penilai 1'!G4,'Penilai 2'!G4,'Penilai 3'!G4)</f>
        <v>4</v>
      </c>
      <c r="H5" s="13">
        <f>AVERAGE('Penilai 1'!H4,'Penilai 2'!H4,'Penilai 3'!H4)</f>
        <v>88</v>
      </c>
    </row>
    <row r="6" spans="1:8" x14ac:dyDescent="0.3">
      <c r="A6" s="4">
        <v>2</v>
      </c>
      <c r="B6" s="3" t="str">
        <f>Input!B15</f>
        <v>Siti Aminah</v>
      </c>
      <c r="C6" s="13">
        <f>AVERAGE('Penilai 1'!C5,'Penilai 2'!C5,'Penilai 3'!C5)</f>
        <v>80</v>
      </c>
      <c r="D6" s="13">
        <f>AVERAGE('Penilai 1'!D5,'Penilai 2'!D5,'Penilai 3'!D5)</f>
        <v>82.333333333333329</v>
      </c>
      <c r="E6" s="13">
        <f>AVERAGE('Penilai 1'!E5,'Penilai 2'!E5,'Penilai 3'!E5)</f>
        <v>82.666666666666671</v>
      </c>
      <c r="F6" s="13">
        <f>AVERAGE('Penilai 1'!F5,'Penilai 2'!F5,'Penilai 3'!F5)</f>
        <v>85</v>
      </c>
      <c r="G6" s="13">
        <f>AVERAGE('Penilai 1'!G5,'Penilai 2'!G5,'Penilai 3'!G5)</f>
        <v>80</v>
      </c>
      <c r="H6" s="13">
        <f>AVERAGE('Penilai 1'!H5,'Penilai 2'!H5,'Penilai 3'!H5)</f>
        <v>79.333333333333329</v>
      </c>
    </row>
    <row r="7" spans="1:8" x14ac:dyDescent="0.3">
      <c r="A7" s="4">
        <v>3</v>
      </c>
      <c r="B7" s="3" t="str">
        <f>Input!B16</f>
        <v>Budi Santoso</v>
      </c>
      <c r="C7" s="13">
        <f>AVERAGE('Penilai 1'!C6,'Penilai 2'!C6,'Penilai 3'!C6)</f>
        <v>90</v>
      </c>
      <c r="D7" s="13">
        <f>AVERAGE('Penilai 1'!D6,'Penilai 2'!D6,'Penilai 3'!D6)</f>
        <v>86.666666666666671</v>
      </c>
      <c r="E7" s="13">
        <f>AVERAGE('Penilai 1'!E6,'Penilai 2'!E6,'Penilai 3'!E6)</f>
        <v>88.333333333333329</v>
      </c>
      <c r="F7" s="13">
        <f>AVERAGE('Penilai 1'!F6,'Penilai 2'!F6,'Penilai 3'!F6)</f>
        <v>87.666666666666671</v>
      </c>
      <c r="G7" s="13">
        <f>AVERAGE('Penilai 1'!G6,'Penilai 2'!G6,'Penilai 3'!G6)</f>
        <v>89.333333333333329</v>
      </c>
      <c r="H7" s="13">
        <f>AVERAGE('Penilai 1'!H6,'Penilai 2'!H6,'Penilai 3'!H6)</f>
        <v>88.666666666666671</v>
      </c>
    </row>
    <row r="8" spans="1:8" x14ac:dyDescent="0.3">
      <c r="A8" s="4">
        <v>4</v>
      </c>
      <c r="B8" s="3" t="str">
        <f>Input!B17</f>
        <v>Dewi Lestari</v>
      </c>
      <c r="C8" s="13">
        <f>AVERAGE('Penilai 1'!C7,'Penilai 2'!C7,'Penilai 3'!C7)</f>
        <v>82.333333333333329</v>
      </c>
      <c r="D8" s="13">
        <f>AVERAGE('Penilai 1'!D7,'Penilai 2'!D7,'Penilai 3'!D7)</f>
        <v>86</v>
      </c>
      <c r="E8" s="13">
        <f>AVERAGE('Penilai 1'!E7,'Penilai 2'!E7,'Penilai 3'!E7)</f>
        <v>85</v>
      </c>
      <c r="F8" s="13">
        <f>AVERAGE('Penilai 1'!F7,'Penilai 2'!F7,'Penilai 3'!F7)</f>
        <v>87.666666666666671</v>
      </c>
      <c r="G8" s="13">
        <f>AVERAGE('Penilai 1'!G7,'Penilai 2'!G7,'Penilai 3'!G7)</f>
        <v>80.666666666666671</v>
      </c>
      <c r="H8" s="13">
        <f>AVERAGE('Penilai 1'!H7,'Penilai 2'!H7,'Penilai 3'!H7)</f>
        <v>81.333333333333329</v>
      </c>
    </row>
    <row r="9" spans="1:8" x14ac:dyDescent="0.3">
      <c r="A9" s="4">
        <v>5</v>
      </c>
      <c r="B9" s="3" t="str">
        <f>Input!B18</f>
        <v>Ahmad Fauzi</v>
      </c>
      <c r="C9" s="13">
        <f>AVERAGE('Penilai 1'!C8,'Penilai 2'!C8,'Penilai 3'!C8)</f>
        <v>88.333333333333329</v>
      </c>
      <c r="D9" s="13">
        <f>AVERAGE('Penilai 1'!D8,'Penilai 2'!D8,'Penilai 3'!D8)</f>
        <v>89.333333333333329</v>
      </c>
      <c r="E9" s="13">
        <f>AVERAGE('Penilai 1'!E8,'Penilai 2'!E8,'Penilai 3'!E8)</f>
        <v>85</v>
      </c>
      <c r="F9" s="13">
        <f>AVERAGE('Penilai 1'!F8,'Penilai 2'!F8,'Penilai 3'!F8)</f>
        <v>84</v>
      </c>
      <c r="G9" s="13">
        <f>AVERAGE('Penilai 1'!G8,'Penilai 2'!G8,'Penilai 3'!G8)</f>
        <v>89.333333333333329</v>
      </c>
      <c r="H9" s="13">
        <f>AVERAGE('Penilai 1'!H8,'Penilai 2'!H8,'Penilai 3'!H8)</f>
        <v>88.333333333333329</v>
      </c>
    </row>
    <row r="10" spans="1:8" x14ac:dyDescent="0.3">
      <c r="A10" s="4">
        <v>6</v>
      </c>
      <c r="B10" s="3" t="str">
        <f>Input!B19</f>
        <v>Rina Wati</v>
      </c>
      <c r="C10" s="13">
        <f>AVERAGE('Penilai 1'!C9,'Penilai 2'!C9,'Penilai 3'!C9)</f>
        <v>80</v>
      </c>
      <c r="D10" s="13">
        <f>AVERAGE('Penilai 1'!D9,'Penilai 2'!D9,'Penilai 3'!D9)</f>
        <v>80</v>
      </c>
      <c r="E10" s="13">
        <f>AVERAGE('Penilai 1'!E9,'Penilai 2'!E9,'Penilai 3'!E9)</f>
        <v>82.333333333333329</v>
      </c>
      <c r="F10" s="13">
        <f>AVERAGE('Penilai 1'!F9,'Penilai 2'!F9,'Penilai 3'!F9)</f>
        <v>81</v>
      </c>
      <c r="G10" s="13">
        <f>AVERAGE('Penilai 1'!G9,'Penilai 2'!G9,'Penilai 3'!G9)</f>
        <v>83</v>
      </c>
      <c r="H10" s="13">
        <f>AVERAGE('Penilai 1'!H9,'Penilai 2'!H9,'Penilai 3'!H9)</f>
        <v>82.333333333333329</v>
      </c>
    </row>
    <row r="11" spans="1:8" x14ac:dyDescent="0.3">
      <c r="A11" s="4">
        <v>7</v>
      </c>
      <c r="B11" s="3" t="str">
        <f>Input!B20</f>
        <v>Joko Susilo</v>
      </c>
      <c r="C11" s="13">
        <f>AVERAGE('Penilai 1'!C10,'Penilai 2'!C10,'Penilai 3'!C10)</f>
        <v>83.333333333333329</v>
      </c>
      <c r="D11" s="13">
        <f>AVERAGE('Penilai 1'!D10,'Penilai 2'!D10,'Penilai 3'!D10)</f>
        <v>81.666666666666671</v>
      </c>
      <c r="E11" s="13">
        <f>AVERAGE('Penilai 1'!E10,'Penilai 2'!E10,'Penilai 3'!E10)</f>
        <v>85</v>
      </c>
      <c r="F11" s="13">
        <f>AVERAGE('Penilai 1'!F10,'Penilai 2'!F10,'Penilai 3'!F10)</f>
        <v>83.333333333333329</v>
      </c>
      <c r="G11" s="13">
        <f>AVERAGE('Penilai 1'!G10,'Penilai 2'!G10,'Penilai 3'!G10)</f>
        <v>83.333333333333329</v>
      </c>
      <c r="H11" s="13">
        <f>AVERAGE('Penilai 1'!H10,'Penilai 2'!H10,'Penilai 3'!H10)</f>
        <v>82.333333333333329</v>
      </c>
    </row>
    <row r="12" spans="1:8" x14ac:dyDescent="0.3">
      <c r="A12" s="4">
        <v>8</v>
      </c>
      <c r="B12" s="3" t="str">
        <f>Input!B21</f>
        <v>Maya Sari</v>
      </c>
      <c r="C12" s="13">
        <f>AVERAGE('Penilai 1'!C11,'Penilai 2'!C11,'Penilai 3'!C11)</f>
        <v>87.666666666666671</v>
      </c>
      <c r="D12" s="13">
        <f>AVERAGE('Penilai 1'!D11,'Penilai 2'!D11,'Penilai 3'!D11)</f>
        <v>87.666666666666671</v>
      </c>
      <c r="E12" s="13">
        <f>AVERAGE('Penilai 1'!E11,'Penilai 2'!E11,'Penilai 3'!E11)</f>
        <v>88.333333333333329</v>
      </c>
      <c r="F12" s="13">
        <f>AVERAGE('Penilai 1'!F11,'Penilai 2'!F11,'Penilai 3'!F11)</f>
        <v>87.666666666666671</v>
      </c>
      <c r="G12" s="13">
        <f>AVERAGE('Penilai 1'!G11,'Penilai 2'!G11,'Penilai 3'!G11)</f>
        <v>89.333333333333329</v>
      </c>
      <c r="H12" s="13">
        <f>AVERAGE('Penilai 1'!H11,'Penilai 2'!H11,'Penilai 3'!H11)</f>
        <v>90</v>
      </c>
    </row>
    <row r="13" spans="1:8" x14ac:dyDescent="0.3">
      <c r="A13" s="4">
        <v>9</v>
      </c>
      <c r="B13" s="3" t="str">
        <f>Input!B22</f>
        <v>Andi Pratama</v>
      </c>
      <c r="C13" s="13">
        <f>AVERAGE('Penilai 1'!C12,'Penilai 2'!C12,'Penilai 3'!C12)</f>
        <v>84</v>
      </c>
      <c r="D13" s="13">
        <f>AVERAGE('Penilai 1'!D12,'Penilai 2'!D12,'Penilai 3'!D12)</f>
        <v>82.333333333333329</v>
      </c>
      <c r="E13" s="13">
        <f>AVERAGE('Penilai 1'!E12,'Penilai 2'!E12,'Penilai 3'!E12)</f>
        <v>82.333333333333329</v>
      </c>
      <c r="F13" s="13">
        <f>AVERAGE('Penilai 1'!F12,'Penilai 2'!F12,'Penilai 3'!F12)</f>
        <v>84</v>
      </c>
      <c r="G13" s="13">
        <f>AVERAGE('Penilai 1'!G12,'Penilai 2'!G12,'Penilai 3'!G12)</f>
        <v>81.666666666666671</v>
      </c>
      <c r="H13" s="13">
        <f>AVERAGE('Penilai 1'!H12,'Penilai 2'!H12,'Penilai 3'!H12)</f>
        <v>82.333333333333329</v>
      </c>
    </row>
    <row r="14" spans="1:8" x14ac:dyDescent="0.3">
      <c r="A14" s="4">
        <v>10</v>
      </c>
      <c r="B14" s="3" t="str">
        <f>Input!B23</f>
        <v>Lina Marlina</v>
      </c>
      <c r="C14" s="13">
        <f>AVERAGE('Penilai 1'!C13,'Penilai 2'!C13,'Penilai 3'!C13)</f>
        <v>81.666666666666671</v>
      </c>
      <c r="D14" s="13">
        <f>AVERAGE('Penilai 1'!D13,'Penilai 2'!D13,'Penilai 3'!D13)</f>
        <v>82.333333333333329</v>
      </c>
      <c r="E14" s="13">
        <f>AVERAGE('Penilai 1'!E13,'Penilai 2'!E13,'Penilai 3'!E13)</f>
        <v>86.666666666666671</v>
      </c>
      <c r="F14" s="13">
        <f>AVERAGE('Penilai 1'!F13,'Penilai 2'!F13,'Penilai 3'!F13)</f>
        <v>85.666666666666671</v>
      </c>
      <c r="G14" s="13">
        <f>AVERAGE('Penilai 1'!G13,'Penilai 2'!G13,'Penilai 3'!G13)</f>
        <v>84</v>
      </c>
      <c r="H14" s="13">
        <f>AVERAGE('Penilai 1'!H13,'Penilai 2'!H13,'Penilai 3'!H13)</f>
        <v>82.333333333333329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topLeftCell="A14" workbookViewId="0">
      <selection activeCell="C5" sqref="C5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4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5" t="s">
        <v>36</v>
      </c>
      <c r="B3" s="46"/>
      <c r="C3" s="46"/>
      <c r="D3" s="46"/>
      <c r="E3" s="46"/>
      <c r="F3" s="46"/>
      <c r="G3" s="46"/>
    </row>
    <row r="4" spans="1:11" x14ac:dyDescent="0.3">
      <c r="A4" s="14"/>
      <c r="B4" s="14" t="s">
        <v>5</v>
      </c>
      <c r="C4" s="14" t="s">
        <v>7</v>
      </c>
      <c r="D4" s="14" t="s">
        <v>9</v>
      </c>
      <c r="E4" s="14" t="s">
        <v>11</v>
      </c>
      <c r="F4" s="14" t="s">
        <v>13</v>
      </c>
      <c r="G4" s="14" t="s">
        <v>15</v>
      </c>
    </row>
    <row r="5" spans="1:11" x14ac:dyDescent="0.3">
      <c r="A5" s="3" t="s">
        <v>5</v>
      </c>
      <c r="B5" s="15">
        <v>1</v>
      </c>
      <c r="C5" s="15">
        <f>IF(Input!$C$5/Input!$C$6&gt;=1,MIN(9,MAX(1,Input!$C$5/Input!$C$6)),MAX(1/9,Input!$C$5/Input!$C$6))</f>
        <v>0.625</v>
      </c>
      <c r="D5" s="15">
        <f>IF(Input!$C$5/Input!$C$7&gt;=1,MIN(9,MAX(1,Input!$C$5/Input!$C$7)),MAX(1/9,Input!$C$5/Input!$C$7))</f>
        <v>0.7142857142857143</v>
      </c>
      <c r="E5" s="15">
        <f>IF(Input!$C$5/Input!$C$8&gt;=1,MIN(9,MAX(1,Input!$C$5/Input!$C$8)),MAX(1/9,Input!$C$5/Input!$C$8))</f>
        <v>2.5</v>
      </c>
      <c r="F5" s="15">
        <f>IF(Input!$C$5/Input!$C$9&gt;=1,MIN(9,MAX(1,Input!$C$5/Input!$C$9)),MAX(1/9,Input!$C$5/Input!$C$9))</f>
        <v>1.25</v>
      </c>
      <c r="G5" s="15">
        <f>IF(Input!$C$5/Input!$C$10&gt;=1,MIN(9,MAX(1,Input!$C$5/Input!$C$10)),MAX(1/9,Input!$C$5/Input!$C$10))</f>
        <v>0.625</v>
      </c>
    </row>
    <row r="6" spans="1:11" x14ac:dyDescent="0.3">
      <c r="A6" s="3" t="s">
        <v>7</v>
      </c>
      <c r="B6" s="15">
        <f>IF(Input!$C$6/Input!$C$5&gt;=1,MIN(9,MAX(1,Input!$C$6/Input!$C$5)),MAX(1/9,Input!$C$6/Input!$C$5))</f>
        <v>1.6</v>
      </c>
      <c r="C6" s="15">
        <v>1</v>
      </c>
      <c r="D6" s="15">
        <f>IF(Input!$C$6/Input!$C$7&gt;=1,MIN(9,MAX(1,Input!$C$6/Input!$C$7)),MAX(1/9,Input!$C$6/Input!$C$7))</f>
        <v>1.1428571428571428</v>
      </c>
      <c r="E6" s="15">
        <f>IF(Input!$C$6/Input!$C$8&gt;=1,MIN(9,MAX(1,Input!$C$6/Input!$C$8)),MAX(1/9,Input!$C$6/Input!$C$8))</f>
        <v>4</v>
      </c>
      <c r="F6" s="15">
        <f>IF(Input!$C$6/Input!$C$9&gt;=1,MIN(9,MAX(1,Input!$C$6/Input!$C$9)),MAX(1/9,Input!$C$6/Input!$C$9))</f>
        <v>2</v>
      </c>
      <c r="G6" s="15">
        <f>IF(Input!$C$6/Input!$C$10&gt;=1,MIN(9,MAX(1,Input!$C$6/Input!$C$10)),MAX(1/9,Input!$C$6/Input!$C$10))</f>
        <v>1</v>
      </c>
    </row>
    <row r="7" spans="1:11" x14ac:dyDescent="0.3">
      <c r="A7" s="3" t="s">
        <v>9</v>
      </c>
      <c r="B7" s="15">
        <f>IF(Input!$C$7/Input!$C$5&gt;=1,MIN(9,MAX(1,Input!$C$7/Input!$C$5)),MAX(1/9,Input!$C$7/Input!$C$5))</f>
        <v>1.4</v>
      </c>
      <c r="C7" s="15">
        <f>IF(Input!$C$7/Input!$C$6&gt;=1,MIN(9,MAX(1,Input!$C$7/Input!$C$6)),MAX(1/9,Input!$C$7/Input!$C$6))</f>
        <v>0.875</v>
      </c>
      <c r="D7" s="15">
        <v>1</v>
      </c>
      <c r="E7" s="15">
        <f>IF(Input!$C$7/Input!$C$8&gt;=1,MIN(9,MAX(1,Input!$C$7/Input!$C$8)),MAX(1/9,Input!$C$7/Input!$C$8))</f>
        <v>3.5</v>
      </c>
      <c r="F7" s="15">
        <f>IF(Input!$C$7/Input!$C$9&gt;=1,MIN(9,MAX(1,Input!$C$7/Input!$C$9)),MAX(1/9,Input!$C$7/Input!$C$9))</f>
        <v>1.75</v>
      </c>
      <c r="G7" s="15">
        <f>IF(Input!$C$7/Input!$C$10&gt;=1,MIN(9,MAX(1,Input!$C$7/Input!$C$10)),MAX(1/9,Input!$C$7/Input!$C$10))</f>
        <v>0.875</v>
      </c>
    </row>
    <row r="8" spans="1:11" x14ac:dyDescent="0.3">
      <c r="A8" s="3" t="s">
        <v>11</v>
      </c>
      <c r="B8" s="15">
        <f>IF(Input!$C$8/Input!$C$5&gt;=1,MIN(9,MAX(1,Input!$C$8/Input!$C$5)),MAX(1/9,Input!$C$8/Input!$C$5))</f>
        <v>0.4</v>
      </c>
      <c r="C8" s="15">
        <f>IF(Input!$C$8/Input!$C$6&gt;=1,MIN(9,MAX(1,Input!$C$8/Input!$C$6)),MAX(1/9,Input!$C$8/Input!$C$6))</f>
        <v>0.25</v>
      </c>
      <c r="D8" s="15">
        <f>IF(Input!$C$8/Input!$C$7&gt;=1,MIN(9,MAX(1,Input!$C$8/Input!$C$7)),MAX(1/9,Input!$C$8/Input!$C$7))</f>
        <v>0.2857142857142857</v>
      </c>
      <c r="E8" s="15">
        <v>1</v>
      </c>
      <c r="F8" s="15">
        <f>IF(Input!$C$8/Input!$C$9&gt;=1,MIN(9,MAX(1,Input!$C$8/Input!$C$9)),MAX(1/9,Input!$C$8/Input!$C$9))</f>
        <v>0.5</v>
      </c>
      <c r="G8" s="15">
        <f>IF(Input!$C$8/Input!$C$10&gt;=1,MIN(9,MAX(1,Input!$C$8/Input!$C$10)),MAX(1/9,Input!$C$8/Input!$C$10))</f>
        <v>0.25</v>
      </c>
    </row>
    <row r="9" spans="1:11" x14ac:dyDescent="0.3">
      <c r="A9" s="3" t="s">
        <v>13</v>
      </c>
      <c r="B9" s="15">
        <f>IF(Input!$C$9/Input!$C$5&gt;=1,MIN(9,MAX(1,Input!$C$9/Input!$C$5)),MAX(1/9,Input!$C$9/Input!$C$5))</f>
        <v>0.8</v>
      </c>
      <c r="C9" s="15">
        <f>IF(Input!$C$9/Input!$C$6&gt;=1,MIN(9,MAX(1,Input!$C$9/Input!$C$6)),MAX(1/9,Input!$C$9/Input!$C$6))</f>
        <v>0.5</v>
      </c>
      <c r="D9" s="15">
        <f>IF(Input!$C$9/Input!$C$7&gt;=1,MIN(9,MAX(1,Input!$C$9/Input!$C$7)),MAX(1/9,Input!$C$9/Input!$C$7))</f>
        <v>0.5714285714285714</v>
      </c>
      <c r="E9" s="15">
        <f>IF(Input!$C$9/Input!$C$8&gt;=1,MIN(9,MAX(1,Input!$C$9/Input!$C$8)),MAX(1/9,Input!$C$9/Input!$C$8))</f>
        <v>2</v>
      </c>
      <c r="F9" s="15">
        <v>1</v>
      </c>
      <c r="G9" s="15">
        <f>IF(Input!$C$9/Input!$C$10&gt;=1,MIN(9,MAX(1,Input!$C$9/Input!$C$10)),MAX(1/9,Input!$C$9/Input!$C$10))</f>
        <v>0.5</v>
      </c>
    </row>
    <row r="10" spans="1:11" x14ac:dyDescent="0.3">
      <c r="A10" s="3" t="s">
        <v>15</v>
      </c>
      <c r="B10" s="15">
        <f>IF(Input!$C$10/Input!$C$5&gt;=1,MIN(9,MAX(1,Input!$C$10/Input!$C$5)),MAX(1/9,Input!$C$10/Input!$C$5))</f>
        <v>1.6</v>
      </c>
      <c r="C10" s="15">
        <f>IF(Input!$C$10/Input!$C$6&gt;=1,MIN(9,MAX(1,Input!$C$10/Input!$C$6)),MAX(1/9,Input!$C$10/Input!$C$6))</f>
        <v>1</v>
      </c>
      <c r="D10" s="15">
        <f>IF(Input!$C$10/Input!$C$7&gt;=1,MIN(9,MAX(1,Input!$C$10/Input!$C$7)),MAX(1/9,Input!$C$10/Input!$C$7))</f>
        <v>1.1428571428571428</v>
      </c>
      <c r="E10" s="15">
        <f>IF(Input!$C$10/Input!$C$8&gt;=1,MIN(9,MAX(1,Input!$C$10/Input!$C$8)),MAX(1/9,Input!$C$10/Input!$C$8))</f>
        <v>4</v>
      </c>
      <c r="F10" s="15">
        <f>IF(Input!$C$10/Input!$C$9&gt;=1,MIN(9,MAX(1,Input!$C$10/Input!$C$9)),MAX(1/9,Input!$C$10/Input!$C$9))</f>
        <v>2</v>
      </c>
      <c r="G10" s="15">
        <v>1</v>
      </c>
    </row>
    <row r="12" spans="1:11" x14ac:dyDescent="0.3">
      <c r="A12" s="52" t="s">
        <v>37</v>
      </c>
      <c r="B12" s="53"/>
      <c r="C12" s="53"/>
      <c r="D12" s="53"/>
      <c r="E12" s="53"/>
      <c r="F12" s="53"/>
      <c r="G12" s="53"/>
    </row>
    <row r="13" spans="1:11" ht="28.8" x14ac:dyDescent="0.3">
      <c r="A13" s="16" t="s">
        <v>3</v>
      </c>
      <c r="B13" s="16" t="s">
        <v>38</v>
      </c>
      <c r="C13" s="16" t="s">
        <v>39</v>
      </c>
    </row>
    <row r="14" spans="1:11" x14ac:dyDescent="0.3">
      <c r="A14" s="3" t="s">
        <v>6</v>
      </c>
      <c r="B14" s="17">
        <f t="shared" ref="B14:B19" si="0">(B5*C5*D5*E5*F5*G5)^(1/6)</f>
        <v>0.97741800924182365</v>
      </c>
      <c r="C14" s="17">
        <f t="shared" ref="C14:C19" si="1">B14/$B$20</f>
        <v>0.14705882352941174</v>
      </c>
    </row>
    <row r="15" spans="1:11" x14ac:dyDescent="0.3">
      <c r="A15" s="3" t="s">
        <v>8</v>
      </c>
      <c r="B15" s="17">
        <f t="shared" si="0"/>
        <v>1.5638688147869177</v>
      </c>
      <c r="C15" s="17">
        <f t="shared" si="1"/>
        <v>0.23529411764705879</v>
      </c>
    </row>
    <row r="16" spans="1:11" x14ac:dyDescent="0.3">
      <c r="A16" s="3" t="s">
        <v>10</v>
      </c>
      <c r="B16" s="17">
        <f t="shared" si="0"/>
        <v>1.368385212938553</v>
      </c>
      <c r="C16" s="17">
        <f t="shared" si="1"/>
        <v>0.20588235294117643</v>
      </c>
    </row>
    <row r="17" spans="1:7" x14ac:dyDescent="0.3">
      <c r="A17" s="3" t="s">
        <v>12</v>
      </c>
      <c r="B17" s="17">
        <f t="shared" si="0"/>
        <v>0.39096720369672944</v>
      </c>
      <c r="C17" s="17">
        <f t="shared" si="1"/>
        <v>5.8823529411764698E-2</v>
      </c>
    </row>
    <row r="18" spans="1:7" x14ac:dyDescent="0.3">
      <c r="A18" s="3" t="s">
        <v>14</v>
      </c>
      <c r="B18" s="17">
        <f t="shared" si="0"/>
        <v>0.78193440739345887</v>
      </c>
      <c r="C18" s="17">
        <f t="shared" si="1"/>
        <v>0.1176470588235294</v>
      </c>
    </row>
    <row r="19" spans="1:7" x14ac:dyDescent="0.3">
      <c r="A19" s="3" t="s">
        <v>16</v>
      </c>
      <c r="B19" s="17">
        <f t="shared" si="0"/>
        <v>1.5638688147869177</v>
      </c>
      <c r="C19" s="17">
        <f t="shared" si="1"/>
        <v>0.23529411764705879</v>
      </c>
    </row>
    <row r="20" spans="1:7" x14ac:dyDescent="0.3">
      <c r="A20" s="4" t="s">
        <v>40</v>
      </c>
      <c r="B20" s="18">
        <f>SUM(B14:B19)</f>
        <v>6.6464424628444014</v>
      </c>
      <c r="C20" s="19">
        <f>SUM(C14:C19)</f>
        <v>0.99999999999999989</v>
      </c>
    </row>
    <row r="22" spans="1:7" x14ac:dyDescent="0.3">
      <c r="A22" s="47" t="s">
        <v>41</v>
      </c>
      <c r="B22" s="48"/>
      <c r="C22" s="48"/>
      <c r="D22" s="48"/>
      <c r="E22" s="48"/>
      <c r="F22" s="48"/>
      <c r="G22" s="48"/>
    </row>
    <row r="23" spans="1:7" x14ac:dyDescent="0.3">
      <c r="A23" s="20" t="s">
        <v>3</v>
      </c>
      <c r="B23" s="20" t="s">
        <v>42</v>
      </c>
      <c r="C23" s="20" t="s">
        <v>43</v>
      </c>
    </row>
    <row r="24" spans="1:7" x14ac:dyDescent="0.3">
      <c r="A24" s="3" t="s">
        <v>6</v>
      </c>
      <c r="B24" s="21">
        <f t="shared" ref="B24:B29" si="2">B5*$C$14+C5*$C$15+D5*$C$16+E5*$C$17+F5*$C$18+G5*$C$19</f>
        <v>0.88235294117647034</v>
      </c>
      <c r="C24" s="21">
        <f>B24/$C$14</f>
        <v>5.9999999999999991</v>
      </c>
    </row>
    <row r="25" spans="1:7" x14ac:dyDescent="0.3">
      <c r="A25" s="3" t="s">
        <v>8</v>
      </c>
      <c r="B25" s="21">
        <f t="shared" si="2"/>
        <v>1.4117647058823528</v>
      </c>
      <c r="C25" s="21">
        <f>B25/$C$15</f>
        <v>6</v>
      </c>
    </row>
    <row r="26" spans="1:7" x14ac:dyDescent="0.3">
      <c r="A26" s="3" t="s">
        <v>10</v>
      </c>
      <c r="B26" s="21">
        <f t="shared" si="2"/>
        <v>1.2352941176470587</v>
      </c>
      <c r="C26" s="21">
        <f>B26/$C$16</f>
        <v>6</v>
      </c>
    </row>
    <row r="27" spans="1:7" x14ac:dyDescent="0.3">
      <c r="A27" s="3" t="s">
        <v>12</v>
      </c>
      <c r="B27" s="21">
        <f t="shared" si="2"/>
        <v>0.3529411764705882</v>
      </c>
      <c r="C27" s="21">
        <f>B27/$C$17</f>
        <v>6</v>
      </c>
    </row>
    <row r="28" spans="1:7" x14ac:dyDescent="0.3">
      <c r="A28" s="3" t="s">
        <v>14</v>
      </c>
      <c r="B28" s="21">
        <f t="shared" si="2"/>
        <v>0.70588235294117641</v>
      </c>
      <c r="C28" s="21">
        <f>B28/$C$18</f>
        <v>6</v>
      </c>
    </row>
    <row r="29" spans="1:7" x14ac:dyDescent="0.3">
      <c r="A29" s="3" t="s">
        <v>16</v>
      </c>
      <c r="B29" s="21">
        <f t="shared" si="2"/>
        <v>1.4117647058823528</v>
      </c>
      <c r="C29" s="21">
        <f>B29/$C$19</f>
        <v>6</v>
      </c>
    </row>
    <row r="31" spans="1:7" x14ac:dyDescent="0.3">
      <c r="A31" s="22" t="s">
        <v>44</v>
      </c>
      <c r="B31" s="18">
        <f>AVERAGE(C24:C29)</f>
        <v>6</v>
      </c>
    </row>
    <row r="32" spans="1:7" x14ac:dyDescent="0.3">
      <c r="A32" s="22" t="s">
        <v>45</v>
      </c>
      <c r="B32" s="21">
        <f>(B31-6)/(6-1)</f>
        <v>0</v>
      </c>
    </row>
    <row r="33" spans="1:4" x14ac:dyDescent="0.3">
      <c r="A33" s="22" t="s">
        <v>46</v>
      </c>
      <c r="B33" s="4">
        <v>1.24</v>
      </c>
    </row>
    <row r="34" spans="1:4" x14ac:dyDescent="0.3">
      <c r="A34" s="22" t="s">
        <v>47</v>
      </c>
      <c r="B34" s="18">
        <f>B32/B33</f>
        <v>0</v>
      </c>
    </row>
    <row r="35" spans="1:4" x14ac:dyDescent="0.3">
      <c r="A35" s="22" t="s">
        <v>48</v>
      </c>
      <c r="B35" s="49" t="str">
        <f>IF(B34&lt;=0.1,"KONSISTEN","TIDAK KONSISTEN")</f>
        <v>KONSISTEN</v>
      </c>
      <c r="C35" s="50"/>
      <c r="D35" s="51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topLeftCell="A44" workbookViewId="0">
      <selection activeCell="J68" sqref="J68"/>
    </sheetView>
  </sheetViews>
  <sheetFormatPr defaultRowHeight="14.4" x14ac:dyDescent="0.3"/>
  <cols>
    <col min="1" max="1" width="25" customWidth="1"/>
    <col min="2" max="22" width="8" customWidth="1"/>
  </cols>
  <sheetData>
    <row r="1" spans="1:27" ht="18" x14ac:dyDescent="0.35">
      <c r="A1" s="44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7" x14ac:dyDescent="0.3">
      <c r="A3" s="59" t="s">
        <v>50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X3" t="s">
        <v>51</v>
      </c>
      <c r="Y3" t="s">
        <v>52</v>
      </c>
      <c r="Z3" t="s">
        <v>53</v>
      </c>
      <c r="AA3" t="s">
        <v>54</v>
      </c>
    </row>
    <row r="4" spans="1:27" x14ac:dyDescent="0.3">
      <c r="A4" s="23"/>
      <c r="B4" s="56" t="s">
        <v>5</v>
      </c>
      <c r="C4" s="39"/>
      <c r="D4" s="39"/>
      <c r="E4" s="56" t="s">
        <v>7</v>
      </c>
      <c r="F4" s="39"/>
      <c r="G4" s="39"/>
      <c r="H4" s="56" t="s">
        <v>9</v>
      </c>
      <c r="I4" s="39"/>
      <c r="J4" s="39"/>
      <c r="K4" s="56" t="s">
        <v>11</v>
      </c>
      <c r="L4" s="39"/>
      <c r="M4" s="39"/>
      <c r="N4" s="56" t="s">
        <v>13</v>
      </c>
      <c r="O4" s="39"/>
      <c r="P4" s="39"/>
      <c r="Q4" s="56" t="s">
        <v>15</v>
      </c>
      <c r="R4" s="39"/>
      <c r="S4" s="39"/>
      <c r="X4">
        <v>1</v>
      </c>
      <c r="Y4">
        <v>1</v>
      </c>
      <c r="Z4">
        <v>1</v>
      </c>
      <c r="AA4">
        <v>1</v>
      </c>
    </row>
    <row r="5" spans="1:27" x14ac:dyDescent="0.3">
      <c r="A5" s="23"/>
      <c r="B5" s="24" t="s">
        <v>52</v>
      </c>
      <c r="C5" s="24" t="s">
        <v>53</v>
      </c>
      <c r="D5" s="24" t="s">
        <v>54</v>
      </c>
      <c r="E5" s="24" t="s">
        <v>52</v>
      </c>
      <c r="F5" s="24" t="s">
        <v>53</v>
      </c>
      <c r="G5" s="24" t="s">
        <v>54</v>
      </c>
      <c r="H5" s="24" t="s">
        <v>52</v>
      </c>
      <c r="I5" s="24" t="s">
        <v>53</v>
      </c>
      <c r="J5" s="24" t="s">
        <v>54</v>
      </c>
      <c r="K5" s="24" t="s">
        <v>52</v>
      </c>
      <c r="L5" s="24" t="s">
        <v>53</v>
      </c>
      <c r="M5" s="24" t="s">
        <v>54</v>
      </c>
      <c r="N5" s="24" t="s">
        <v>52</v>
      </c>
      <c r="O5" s="24" t="s">
        <v>53</v>
      </c>
      <c r="P5" s="24" t="s">
        <v>54</v>
      </c>
      <c r="Q5" s="24" t="s">
        <v>52</v>
      </c>
      <c r="R5" s="24" t="s">
        <v>53</v>
      </c>
      <c r="S5" s="24" t="s">
        <v>54</v>
      </c>
      <c r="X5">
        <v>2</v>
      </c>
      <c r="Y5">
        <v>0.5</v>
      </c>
      <c r="Z5">
        <v>1</v>
      </c>
      <c r="AA5">
        <v>1.5</v>
      </c>
    </row>
    <row r="6" spans="1:27" x14ac:dyDescent="0.3">
      <c r="A6" s="3" t="s">
        <v>5</v>
      </c>
      <c r="B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1-3'!B$5),0)))),$X$4:$AA$12,2,FALSE),1/VLOOKUP(MAX(1,MIN(9,IF(MOD(IF('Langkah 1-3'!B$5&gt;=1,'Langkah 1-3'!B$5,1/'Langkah 1-3'!B$5),1)=0.5,2*ROUND(IF('Langkah 1-3'!B$5&gt;=1,'Langkah 1-3'!B$5,1/'Langkah 1-3'!B$5)/2,0),ROUND(IF('Langkah 1-3'!B$5&gt;=1,'Langkah 1-3'!B$5,1/'Langkah 1-3'!B$5),0)))),$X$4:$AA$12,4,FALSE))</f>
        <v>1</v>
      </c>
      <c r="C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1-3'!B$5),0)))),$X$4:$AA$12,3,FALSE),1/VLOOKUP(MAX(1,MIN(9,IF(MOD(IF('Langkah 1-3'!B$5&gt;=1,'Langkah 1-3'!B$5,1/'Langkah 1-3'!B$5),1)=0.5,2*ROUND(IF('Langkah 1-3'!B$5&gt;=1,'Langkah 1-3'!B$5,1/'Langkah 1-3'!B$5)/2,0),ROUND(IF('Langkah 1-3'!B$5&gt;=1,'Langkah 1-3'!B$5,1/'Langkah 1-3'!B$5),0)))),$X$4:$AA$12,3,FALSE))</f>
        <v>1</v>
      </c>
      <c r="D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1-3'!B$5),0)))),$X$4:$AA$12,4,FALSE),1/VLOOKUP(MAX(1,MIN(9,IF(MOD(IF('Langkah 1-3'!B$5&gt;=1,'Langkah 1-3'!B$5,1/'Langkah 1-3'!B$5),1)=0.5,2*ROUND(IF('Langkah 1-3'!B$5&gt;=1,'Langkah 1-3'!B$5,1/'Langkah 1-3'!B$5)/2,0),ROUND(IF('Langkah 1-3'!B$5&gt;=1,'Langkah 1-3'!B$5,1/'Langkah 1-3'!B$5),0)))),$X$4:$AA$12,2,FALSE))</f>
        <v>1</v>
      </c>
      <c r="E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1-3'!C$5),0)))),$X$4:$AA$12,2,FALSE),1/VLOOKUP(MAX(1,MIN(9,IF(MOD(IF('Langkah 1-3'!C$5&gt;=1,'Langkah 1-3'!C$5,1/'Langkah 1-3'!C$5),1)=0.5,2*ROUND(IF('Langkah 1-3'!C$5&gt;=1,'Langkah 1-3'!C$5,1/'Langkah 1-3'!C$5)/2,0),ROUND(IF('Langkah 1-3'!C$5&gt;=1,'Langkah 1-3'!C$5,1/'Langkah 1-3'!C$5),0)))),$X$4:$AA$12,4,FALSE))</f>
        <v>0.66666666666666663</v>
      </c>
      <c r="F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1-3'!C$5),0)))),$X$4:$AA$12,3,FALSE),1/VLOOKUP(MAX(1,MIN(9,IF(MOD(IF('Langkah 1-3'!C$5&gt;=1,'Langkah 1-3'!C$5,1/'Langkah 1-3'!C$5),1)=0.5,2*ROUND(IF('Langkah 1-3'!C$5&gt;=1,'Langkah 1-3'!C$5,1/'Langkah 1-3'!C$5)/2,0),ROUND(IF('Langkah 1-3'!C$5&gt;=1,'Langkah 1-3'!C$5,1/'Langkah 1-3'!C$5),0)))),$X$4:$AA$12,3,FALSE))</f>
        <v>1</v>
      </c>
      <c r="G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1-3'!C$5),0)))),$X$4:$AA$12,4,FALSE),1/VLOOKUP(MAX(1,MIN(9,IF(MOD(IF('Langkah 1-3'!C$5&gt;=1,'Langkah 1-3'!C$5,1/'Langkah 1-3'!C$5),1)=0.5,2*ROUND(IF('Langkah 1-3'!C$5&gt;=1,'Langkah 1-3'!C$5,1/'Langkah 1-3'!C$5)/2,0),ROUND(IF('Langkah 1-3'!C$5&gt;=1,'Langkah 1-3'!C$5,1/'Langkah 1-3'!C$5),0)))),$X$4:$AA$12,2,FALSE))</f>
        <v>2</v>
      </c>
      <c r="H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1-3'!D$5),0)))),$X$4:$AA$12,2,FALSE),1/VLOOKUP(MAX(1,MIN(9,IF(MOD(IF('Langkah 1-3'!D$5&gt;=1,'Langkah 1-3'!D$5,1/'Langkah 1-3'!D$5),1)=0.5,2*ROUND(IF('Langkah 1-3'!D$5&gt;=1,'Langkah 1-3'!D$5,1/'Langkah 1-3'!D$5)/2,0),ROUND(IF('Langkah 1-3'!D$5&gt;=1,'Langkah 1-3'!D$5,1/'Langkah 1-3'!D$5),0)))),$X$4:$AA$12,4,FALSE))</f>
        <v>1</v>
      </c>
      <c r="I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1-3'!D$5),0)))),$X$4:$AA$12,3,FALSE),1/VLOOKUP(MAX(1,MIN(9,IF(MOD(IF('Langkah 1-3'!D$5&gt;=1,'Langkah 1-3'!D$5,1/'Langkah 1-3'!D$5),1)=0.5,2*ROUND(IF('Langkah 1-3'!D$5&gt;=1,'Langkah 1-3'!D$5,1/'Langkah 1-3'!D$5)/2,0),ROUND(IF('Langkah 1-3'!D$5&gt;=1,'Langkah 1-3'!D$5,1/'Langkah 1-3'!D$5),0)))),$X$4:$AA$12,3,FALSE))</f>
        <v>1</v>
      </c>
      <c r="J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1-3'!D$5),0)))),$X$4:$AA$12,4,FALSE),1/VLOOKUP(MAX(1,MIN(9,IF(MOD(IF('Langkah 1-3'!D$5&gt;=1,'Langkah 1-3'!D$5,1/'Langkah 1-3'!D$5),1)=0.5,2*ROUND(IF('Langkah 1-3'!D$5&gt;=1,'Langkah 1-3'!D$5,1/'Langkah 1-3'!D$5)/2,0),ROUND(IF('Langkah 1-3'!D$5&gt;=1,'Langkah 1-3'!D$5,1/'Langkah 1-3'!D$5),0)))),$X$4:$AA$12,2,FALSE))</f>
        <v>1</v>
      </c>
      <c r="K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1-3'!E$5),0)))),$X$4:$AA$12,2,FALSE),1/VLOOKUP(MAX(1,MIN(9,IF(MOD(IF('Langkah 1-3'!E$5&gt;=1,'Langkah 1-3'!E$5,1/'Langkah 1-3'!E$5),1)=0.5,2*ROUND(IF('Langkah 1-3'!E$5&gt;=1,'Langkah 1-3'!E$5,1/'Langkah 1-3'!E$5)/2,0),ROUND(IF('Langkah 1-3'!E$5&gt;=1,'Langkah 1-3'!E$5,1/'Langkah 1-3'!E$5),0)))),$X$4:$AA$12,4,FALSE))</f>
        <v>0.5</v>
      </c>
      <c r="L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1-3'!E$5),0)))),$X$4:$AA$12,3,FALSE),1/VLOOKUP(MAX(1,MIN(9,IF(MOD(IF('Langkah 1-3'!E$5&gt;=1,'Langkah 1-3'!E$5,1/'Langkah 1-3'!E$5),1)=0.5,2*ROUND(IF('Langkah 1-3'!E$5&gt;=1,'Langkah 1-3'!E$5,1/'Langkah 1-3'!E$5)/2,0),ROUND(IF('Langkah 1-3'!E$5&gt;=1,'Langkah 1-3'!E$5,1/'Langkah 1-3'!E$5),0)))),$X$4:$AA$12,3,FALSE))</f>
        <v>1</v>
      </c>
      <c r="M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1-3'!E$5),0)))),$X$4:$AA$12,4,FALSE),1/VLOOKUP(MAX(1,MIN(9,IF(MOD(IF('Langkah 1-3'!E$5&gt;=1,'Langkah 1-3'!E$5,1/'Langkah 1-3'!E$5),1)=0.5,2*ROUND(IF('Langkah 1-3'!E$5&gt;=1,'Langkah 1-3'!E$5,1/'Langkah 1-3'!E$5)/2,0),ROUND(IF('Langkah 1-3'!E$5&gt;=1,'Langkah 1-3'!E$5,1/'Langkah 1-3'!E$5),0)))),$X$4:$AA$12,2,FALSE))</f>
        <v>1.5</v>
      </c>
      <c r="N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1-3'!F$5),0)))),$X$4:$AA$12,2,FALSE),1/VLOOKUP(MAX(1,MIN(9,IF(MOD(IF('Langkah 1-3'!F$5&gt;=1,'Langkah 1-3'!F$5,1/'Langkah 1-3'!F$5),1)=0.5,2*ROUND(IF('Langkah 1-3'!F$5&gt;=1,'Langkah 1-3'!F$5,1/'Langkah 1-3'!F$5)/2,0),ROUND(IF('Langkah 1-3'!F$5&gt;=1,'Langkah 1-3'!F$5,1/'Langkah 1-3'!F$5),0)))),$X$4:$AA$12,4,FALSE))</f>
        <v>1</v>
      </c>
      <c r="O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1-3'!F$5),0)))),$X$4:$AA$12,3,FALSE),1/VLOOKUP(MAX(1,MIN(9,IF(MOD(IF('Langkah 1-3'!F$5&gt;=1,'Langkah 1-3'!F$5,1/'Langkah 1-3'!F$5),1)=0.5,2*ROUND(IF('Langkah 1-3'!F$5&gt;=1,'Langkah 1-3'!F$5,1/'Langkah 1-3'!F$5)/2,0),ROUND(IF('Langkah 1-3'!F$5&gt;=1,'Langkah 1-3'!F$5,1/'Langkah 1-3'!F$5),0)))),$X$4:$AA$12,3,FALSE))</f>
        <v>1</v>
      </c>
      <c r="P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1-3'!F$5),0)))),$X$4:$AA$12,4,FALSE),1/VLOOKUP(MAX(1,MIN(9,IF(MOD(IF('Langkah 1-3'!F$5&gt;=1,'Langkah 1-3'!F$5,1/'Langkah 1-3'!F$5),1)=0.5,2*ROUND(IF('Langkah 1-3'!F$5&gt;=1,'Langkah 1-3'!F$5,1/'Langkah 1-3'!F$5)/2,0),ROUND(IF('Langkah 1-3'!F$5&gt;=1,'Langkah 1-3'!F$5,1/'Langkah 1-3'!F$5),0)))),$X$4:$AA$12,2,FALSE))</f>
        <v>1</v>
      </c>
      <c r="Q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1-3'!G$5),0)))),$X$4:$AA$12,2,FALSE),1/VLOOKUP(MAX(1,MIN(9,IF(MOD(IF('Langkah 1-3'!G$5&gt;=1,'Langkah 1-3'!G$5,1/'Langkah 1-3'!G$5),1)=0.5,2*ROUND(IF('Langkah 1-3'!G$5&gt;=1,'Langkah 1-3'!G$5,1/'Langkah 1-3'!G$5)/2,0),ROUND(IF('Langkah 1-3'!G$5&gt;=1,'Langkah 1-3'!G$5,1/'Langkah 1-3'!G$5),0)))),$X$4:$AA$12,4,FALSE))</f>
        <v>0.66666666666666663</v>
      </c>
      <c r="R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1-3'!G$5),0)))),$X$4:$AA$12,3,FALSE),1/VLOOKUP(MAX(1,MIN(9,IF(MOD(IF('Langkah 1-3'!G$5&gt;=1,'Langkah 1-3'!G$5,1/'Langkah 1-3'!G$5),1)=0.5,2*ROUND(IF('Langkah 1-3'!G$5&gt;=1,'Langkah 1-3'!G$5,1/'Langkah 1-3'!G$5)/2,0),ROUND(IF('Langkah 1-3'!G$5&gt;=1,'Langkah 1-3'!G$5,1/'Langkah 1-3'!G$5),0)))),$X$4:$AA$12,3,FALSE))</f>
        <v>1</v>
      </c>
      <c r="S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1-3'!G$5),0)))),$X$4:$AA$12,4,FALSE),1/VLOOKUP(MAX(1,MIN(9,IF(MOD(IF('Langkah 1-3'!G$5&gt;=1,'Langkah 1-3'!G$5,1/'Langkah 1-3'!G$5),1)=0.5,2*ROUND(IF('Langkah 1-3'!G$5&gt;=1,'Langkah 1-3'!G$5,1/'Langkah 1-3'!G$5)/2,0),ROUND(IF('Langkah 1-3'!G$5&gt;=1,'Langkah 1-3'!G$5,1/'Langkah 1-3'!G$5),0)))),$X$4:$AA$12,2,FALSE))</f>
        <v>2</v>
      </c>
      <c r="X6">
        <v>3</v>
      </c>
      <c r="Y6">
        <v>1</v>
      </c>
      <c r="Z6">
        <v>1.5</v>
      </c>
      <c r="AA6">
        <v>2</v>
      </c>
    </row>
    <row r="7" spans="1:27" x14ac:dyDescent="0.3">
      <c r="A7" s="3" t="s">
        <v>7</v>
      </c>
      <c r="B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1-3'!B$6),0)))),$X$4:$AA$12,2,FALSE),1/VLOOKUP(MAX(1,MIN(9,IF(MOD(IF('Langkah 1-3'!B$6&gt;=1,'Langkah 1-3'!B$6,1/'Langkah 1-3'!B$6),1)=0.5,2*ROUND(IF('Langkah 1-3'!B$6&gt;=1,'Langkah 1-3'!B$6,1/'Langkah 1-3'!B$6)/2,0),ROUND(IF('Langkah 1-3'!B$6&gt;=1,'Langkah 1-3'!B$6,1/'Langkah 1-3'!B$6),0)))),$X$4:$AA$12,4,FALSE))</f>
        <v>0.5</v>
      </c>
      <c r="C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1-3'!B$6),0)))),$X$4:$AA$12,3,FALSE),1/VLOOKUP(MAX(1,MIN(9,IF(MOD(IF('Langkah 1-3'!B$6&gt;=1,'Langkah 1-3'!B$6,1/'Langkah 1-3'!B$6),1)=0.5,2*ROUND(IF('Langkah 1-3'!B$6&gt;=1,'Langkah 1-3'!B$6,1/'Langkah 1-3'!B$6)/2,0),ROUND(IF('Langkah 1-3'!B$6&gt;=1,'Langkah 1-3'!B$6,1/'Langkah 1-3'!B$6),0)))),$X$4:$AA$12,3,FALSE))</f>
        <v>1</v>
      </c>
      <c r="D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1-3'!B$6),0)))),$X$4:$AA$12,4,FALSE),1/VLOOKUP(MAX(1,MIN(9,IF(MOD(IF('Langkah 1-3'!B$6&gt;=1,'Langkah 1-3'!B$6,1/'Langkah 1-3'!B$6),1)=0.5,2*ROUND(IF('Langkah 1-3'!B$6&gt;=1,'Langkah 1-3'!B$6,1/'Langkah 1-3'!B$6)/2,0),ROUND(IF('Langkah 1-3'!B$6&gt;=1,'Langkah 1-3'!B$6,1/'Langkah 1-3'!B$6),0)))),$X$4:$AA$12,2,FALSE))</f>
        <v>1.5</v>
      </c>
      <c r="E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1-3'!C$6),0)))),$X$4:$AA$12,2,FALSE),1/VLOOKUP(MAX(1,MIN(9,IF(MOD(IF('Langkah 1-3'!C$6&gt;=1,'Langkah 1-3'!C$6,1/'Langkah 1-3'!C$6),1)=0.5,2*ROUND(IF('Langkah 1-3'!C$6&gt;=1,'Langkah 1-3'!C$6,1/'Langkah 1-3'!C$6)/2,0),ROUND(IF('Langkah 1-3'!C$6&gt;=1,'Langkah 1-3'!C$6,1/'Langkah 1-3'!C$6),0)))),$X$4:$AA$12,4,FALSE))</f>
        <v>1</v>
      </c>
      <c r="F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1-3'!C$6),0)))),$X$4:$AA$12,3,FALSE),1/VLOOKUP(MAX(1,MIN(9,IF(MOD(IF('Langkah 1-3'!C$6&gt;=1,'Langkah 1-3'!C$6,1/'Langkah 1-3'!C$6),1)=0.5,2*ROUND(IF('Langkah 1-3'!C$6&gt;=1,'Langkah 1-3'!C$6,1/'Langkah 1-3'!C$6)/2,0),ROUND(IF('Langkah 1-3'!C$6&gt;=1,'Langkah 1-3'!C$6,1/'Langkah 1-3'!C$6),0)))),$X$4:$AA$12,3,FALSE))</f>
        <v>1</v>
      </c>
      <c r="G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1-3'!C$6),0)))),$X$4:$AA$12,4,FALSE),1/VLOOKUP(MAX(1,MIN(9,IF(MOD(IF('Langkah 1-3'!C$6&gt;=1,'Langkah 1-3'!C$6,1/'Langkah 1-3'!C$6),1)=0.5,2*ROUND(IF('Langkah 1-3'!C$6&gt;=1,'Langkah 1-3'!C$6,1/'Langkah 1-3'!C$6)/2,0),ROUND(IF('Langkah 1-3'!C$6&gt;=1,'Langkah 1-3'!C$6,1/'Langkah 1-3'!C$6),0)))),$X$4:$AA$12,2,FALSE))</f>
        <v>1</v>
      </c>
      <c r="H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1-3'!D$6),0)))),$X$4:$AA$12,2,FALSE),1/VLOOKUP(MAX(1,MIN(9,IF(MOD(IF('Langkah 1-3'!D$6&gt;=1,'Langkah 1-3'!D$6,1/'Langkah 1-3'!D$6),1)=0.5,2*ROUND(IF('Langkah 1-3'!D$6&gt;=1,'Langkah 1-3'!D$6,1/'Langkah 1-3'!D$6)/2,0),ROUND(IF('Langkah 1-3'!D$6&gt;=1,'Langkah 1-3'!D$6,1/'Langkah 1-3'!D$6),0)))),$X$4:$AA$12,4,FALSE))</f>
        <v>1</v>
      </c>
      <c r="I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1-3'!D$6),0)))),$X$4:$AA$12,3,FALSE),1/VLOOKUP(MAX(1,MIN(9,IF(MOD(IF('Langkah 1-3'!D$6&gt;=1,'Langkah 1-3'!D$6,1/'Langkah 1-3'!D$6),1)=0.5,2*ROUND(IF('Langkah 1-3'!D$6&gt;=1,'Langkah 1-3'!D$6,1/'Langkah 1-3'!D$6)/2,0),ROUND(IF('Langkah 1-3'!D$6&gt;=1,'Langkah 1-3'!D$6,1/'Langkah 1-3'!D$6),0)))),$X$4:$AA$12,3,FALSE))</f>
        <v>1</v>
      </c>
      <c r="J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1-3'!D$6),0)))),$X$4:$AA$12,4,FALSE),1/VLOOKUP(MAX(1,MIN(9,IF(MOD(IF('Langkah 1-3'!D$6&gt;=1,'Langkah 1-3'!D$6,1/'Langkah 1-3'!D$6),1)=0.5,2*ROUND(IF('Langkah 1-3'!D$6&gt;=1,'Langkah 1-3'!D$6,1/'Langkah 1-3'!D$6)/2,0),ROUND(IF('Langkah 1-3'!D$6&gt;=1,'Langkah 1-3'!D$6,1/'Langkah 1-3'!D$6),0)))),$X$4:$AA$12,2,FALSE))</f>
        <v>1</v>
      </c>
      <c r="K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1-3'!E$6),0)))),$X$4:$AA$12,2,FALSE),1/VLOOKUP(MAX(1,MIN(9,IF(MOD(IF('Langkah 1-3'!E$6&gt;=1,'Langkah 1-3'!E$6,1/'Langkah 1-3'!E$6),1)=0.5,2*ROUND(IF('Langkah 1-3'!E$6&gt;=1,'Langkah 1-3'!E$6,1/'Langkah 1-3'!E$6)/2,0),ROUND(IF('Langkah 1-3'!E$6&gt;=1,'Langkah 1-3'!E$6,1/'Langkah 1-3'!E$6),0)))),$X$4:$AA$12,4,FALSE))</f>
        <v>1.5</v>
      </c>
      <c r="L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1-3'!E$6),0)))),$X$4:$AA$12,3,FALSE),1/VLOOKUP(MAX(1,MIN(9,IF(MOD(IF('Langkah 1-3'!E$6&gt;=1,'Langkah 1-3'!E$6,1/'Langkah 1-3'!E$6),1)=0.5,2*ROUND(IF('Langkah 1-3'!E$6&gt;=1,'Langkah 1-3'!E$6,1/'Langkah 1-3'!E$6)/2,0),ROUND(IF('Langkah 1-3'!E$6&gt;=1,'Langkah 1-3'!E$6,1/'Langkah 1-3'!E$6),0)))),$X$4:$AA$12,3,FALSE))</f>
        <v>2</v>
      </c>
      <c r="M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1-3'!E$6),0)))),$X$4:$AA$12,4,FALSE),1/VLOOKUP(MAX(1,MIN(9,IF(MOD(IF('Langkah 1-3'!E$6&gt;=1,'Langkah 1-3'!E$6,1/'Langkah 1-3'!E$6),1)=0.5,2*ROUND(IF('Langkah 1-3'!E$6&gt;=1,'Langkah 1-3'!E$6,1/'Langkah 1-3'!E$6)/2,0),ROUND(IF('Langkah 1-3'!E$6&gt;=1,'Langkah 1-3'!E$6,1/'Langkah 1-3'!E$6),0)))),$X$4:$AA$12,2,FALSE))</f>
        <v>2.5</v>
      </c>
      <c r="N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1-3'!F$6),0)))),$X$4:$AA$12,2,FALSE),1/VLOOKUP(MAX(1,MIN(9,IF(MOD(IF('Langkah 1-3'!F$6&gt;=1,'Langkah 1-3'!F$6,1/'Langkah 1-3'!F$6),1)=0.5,2*ROUND(IF('Langkah 1-3'!F$6&gt;=1,'Langkah 1-3'!F$6,1/'Langkah 1-3'!F$6)/2,0),ROUND(IF('Langkah 1-3'!F$6&gt;=1,'Langkah 1-3'!F$6,1/'Langkah 1-3'!F$6),0)))),$X$4:$AA$12,4,FALSE))</f>
        <v>0.5</v>
      </c>
      <c r="O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1-3'!F$6),0)))),$X$4:$AA$12,3,FALSE),1/VLOOKUP(MAX(1,MIN(9,IF(MOD(IF('Langkah 1-3'!F$6&gt;=1,'Langkah 1-3'!F$6,1/'Langkah 1-3'!F$6),1)=0.5,2*ROUND(IF('Langkah 1-3'!F$6&gt;=1,'Langkah 1-3'!F$6,1/'Langkah 1-3'!F$6)/2,0),ROUND(IF('Langkah 1-3'!F$6&gt;=1,'Langkah 1-3'!F$6,1/'Langkah 1-3'!F$6),0)))),$X$4:$AA$12,3,FALSE))</f>
        <v>1</v>
      </c>
      <c r="P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1-3'!F$6),0)))),$X$4:$AA$12,4,FALSE),1/VLOOKUP(MAX(1,MIN(9,IF(MOD(IF('Langkah 1-3'!F$6&gt;=1,'Langkah 1-3'!F$6,1/'Langkah 1-3'!F$6),1)=0.5,2*ROUND(IF('Langkah 1-3'!F$6&gt;=1,'Langkah 1-3'!F$6,1/'Langkah 1-3'!F$6)/2,0),ROUND(IF('Langkah 1-3'!F$6&gt;=1,'Langkah 1-3'!F$6,1/'Langkah 1-3'!F$6),0)))),$X$4:$AA$12,2,FALSE))</f>
        <v>1.5</v>
      </c>
      <c r="Q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1-3'!G$6),0)))),$X$4:$AA$12,2,FALSE),1/VLOOKUP(MAX(1,MIN(9,IF(MOD(IF('Langkah 1-3'!G$6&gt;=1,'Langkah 1-3'!G$6,1/'Langkah 1-3'!G$6),1)=0.5,2*ROUND(IF('Langkah 1-3'!G$6&gt;=1,'Langkah 1-3'!G$6,1/'Langkah 1-3'!G$6)/2,0),ROUND(IF('Langkah 1-3'!G$6&gt;=1,'Langkah 1-3'!G$6,1/'Langkah 1-3'!G$6),0)))),$X$4:$AA$12,4,FALSE))</f>
        <v>1</v>
      </c>
      <c r="R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1-3'!G$6),0)))),$X$4:$AA$12,3,FALSE),1/VLOOKUP(MAX(1,MIN(9,IF(MOD(IF('Langkah 1-3'!G$6&gt;=1,'Langkah 1-3'!G$6,1/'Langkah 1-3'!G$6),1)=0.5,2*ROUND(IF('Langkah 1-3'!G$6&gt;=1,'Langkah 1-3'!G$6,1/'Langkah 1-3'!G$6)/2,0),ROUND(IF('Langkah 1-3'!G$6&gt;=1,'Langkah 1-3'!G$6,1/'Langkah 1-3'!G$6),0)))),$X$4:$AA$12,3,FALSE))</f>
        <v>1</v>
      </c>
      <c r="S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1-3'!G$6),0)))),$X$4:$AA$12,4,FALSE),1/VLOOKUP(MAX(1,MIN(9,IF(MOD(IF('Langkah 1-3'!G$6&gt;=1,'Langkah 1-3'!G$6,1/'Langkah 1-3'!G$6),1)=0.5,2*ROUND(IF('Langkah 1-3'!G$6&gt;=1,'Langkah 1-3'!G$6,1/'Langkah 1-3'!G$6)/2,0),ROUND(IF('Langkah 1-3'!G$6&gt;=1,'Langkah 1-3'!G$6,1/'Langkah 1-3'!G$6),0)))),$X$4:$AA$12,2,FALSE))</f>
        <v>1</v>
      </c>
      <c r="X7">
        <v>4</v>
      </c>
      <c r="Y7">
        <v>1.5</v>
      </c>
      <c r="Z7">
        <v>2</v>
      </c>
      <c r="AA7">
        <v>2.5</v>
      </c>
    </row>
    <row r="8" spans="1:27" x14ac:dyDescent="0.3">
      <c r="A8" s="3" t="s">
        <v>9</v>
      </c>
      <c r="B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1-3'!B$7),0)))),$X$4:$AA$12,2,FALSE),1/VLOOKUP(MAX(1,MIN(9,IF(MOD(IF('Langkah 1-3'!B$7&gt;=1,'Langkah 1-3'!B$7,1/'Langkah 1-3'!B$7),1)=0.5,2*ROUND(IF('Langkah 1-3'!B$7&gt;=1,'Langkah 1-3'!B$7,1/'Langkah 1-3'!B$7)/2,0),ROUND(IF('Langkah 1-3'!B$7&gt;=1,'Langkah 1-3'!B$7,1/'Langkah 1-3'!B$7),0)))),$X$4:$AA$12,4,FALSE))</f>
        <v>1</v>
      </c>
      <c r="C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1-3'!B$7),0)))),$X$4:$AA$12,3,FALSE),1/VLOOKUP(MAX(1,MIN(9,IF(MOD(IF('Langkah 1-3'!B$7&gt;=1,'Langkah 1-3'!B$7,1/'Langkah 1-3'!B$7),1)=0.5,2*ROUND(IF('Langkah 1-3'!B$7&gt;=1,'Langkah 1-3'!B$7,1/'Langkah 1-3'!B$7)/2,0),ROUND(IF('Langkah 1-3'!B$7&gt;=1,'Langkah 1-3'!B$7,1/'Langkah 1-3'!B$7),0)))),$X$4:$AA$12,3,FALSE))</f>
        <v>1</v>
      </c>
      <c r="D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1-3'!B$7),0)))),$X$4:$AA$12,4,FALSE),1/VLOOKUP(MAX(1,MIN(9,IF(MOD(IF('Langkah 1-3'!B$7&gt;=1,'Langkah 1-3'!B$7,1/'Langkah 1-3'!B$7),1)=0.5,2*ROUND(IF('Langkah 1-3'!B$7&gt;=1,'Langkah 1-3'!B$7,1/'Langkah 1-3'!B$7)/2,0),ROUND(IF('Langkah 1-3'!B$7&gt;=1,'Langkah 1-3'!B$7,1/'Langkah 1-3'!B$7),0)))),$X$4:$AA$12,2,FALSE))</f>
        <v>1</v>
      </c>
      <c r="E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1-3'!C$7),0)))),$X$4:$AA$12,2,FALSE),1/VLOOKUP(MAX(1,MIN(9,IF(MOD(IF('Langkah 1-3'!C$7&gt;=1,'Langkah 1-3'!C$7,1/'Langkah 1-3'!C$7),1)=0.5,2*ROUND(IF('Langkah 1-3'!C$7&gt;=1,'Langkah 1-3'!C$7,1/'Langkah 1-3'!C$7)/2,0),ROUND(IF('Langkah 1-3'!C$7&gt;=1,'Langkah 1-3'!C$7,1/'Langkah 1-3'!C$7),0)))),$X$4:$AA$12,4,FALSE))</f>
        <v>1</v>
      </c>
      <c r="F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1-3'!C$7),0)))),$X$4:$AA$12,3,FALSE),1/VLOOKUP(MAX(1,MIN(9,IF(MOD(IF('Langkah 1-3'!C$7&gt;=1,'Langkah 1-3'!C$7,1/'Langkah 1-3'!C$7),1)=0.5,2*ROUND(IF('Langkah 1-3'!C$7&gt;=1,'Langkah 1-3'!C$7,1/'Langkah 1-3'!C$7)/2,0),ROUND(IF('Langkah 1-3'!C$7&gt;=1,'Langkah 1-3'!C$7,1/'Langkah 1-3'!C$7),0)))),$X$4:$AA$12,3,FALSE))</f>
        <v>1</v>
      </c>
      <c r="G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1-3'!C$7),0)))),$X$4:$AA$12,4,FALSE),1/VLOOKUP(MAX(1,MIN(9,IF(MOD(IF('Langkah 1-3'!C$7&gt;=1,'Langkah 1-3'!C$7,1/'Langkah 1-3'!C$7),1)=0.5,2*ROUND(IF('Langkah 1-3'!C$7&gt;=1,'Langkah 1-3'!C$7,1/'Langkah 1-3'!C$7)/2,0),ROUND(IF('Langkah 1-3'!C$7&gt;=1,'Langkah 1-3'!C$7,1/'Langkah 1-3'!C$7),0)))),$X$4:$AA$12,2,FALSE))</f>
        <v>1</v>
      </c>
      <c r="H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1-3'!D$7),0)))),$X$4:$AA$12,2,FALSE),1/VLOOKUP(MAX(1,MIN(9,IF(MOD(IF('Langkah 1-3'!D$7&gt;=1,'Langkah 1-3'!D$7,1/'Langkah 1-3'!D$7),1)=0.5,2*ROUND(IF('Langkah 1-3'!D$7&gt;=1,'Langkah 1-3'!D$7,1/'Langkah 1-3'!D$7)/2,0),ROUND(IF('Langkah 1-3'!D$7&gt;=1,'Langkah 1-3'!D$7,1/'Langkah 1-3'!D$7),0)))),$X$4:$AA$12,4,FALSE))</f>
        <v>1</v>
      </c>
      <c r="I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1-3'!D$7),0)))),$X$4:$AA$12,3,FALSE),1/VLOOKUP(MAX(1,MIN(9,IF(MOD(IF('Langkah 1-3'!D$7&gt;=1,'Langkah 1-3'!D$7,1/'Langkah 1-3'!D$7),1)=0.5,2*ROUND(IF('Langkah 1-3'!D$7&gt;=1,'Langkah 1-3'!D$7,1/'Langkah 1-3'!D$7)/2,0),ROUND(IF('Langkah 1-3'!D$7&gt;=1,'Langkah 1-3'!D$7,1/'Langkah 1-3'!D$7),0)))),$X$4:$AA$12,3,FALSE))</f>
        <v>1</v>
      </c>
      <c r="J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1-3'!D$7),0)))),$X$4:$AA$12,4,FALSE),1/VLOOKUP(MAX(1,MIN(9,IF(MOD(IF('Langkah 1-3'!D$7&gt;=1,'Langkah 1-3'!D$7,1/'Langkah 1-3'!D$7),1)=0.5,2*ROUND(IF('Langkah 1-3'!D$7&gt;=1,'Langkah 1-3'!D$7,1/'Langkah 1-3'!D$7)/2,0),ROUND(IF('Langkah 1-3'!D$7&gt;=1,'Langkah 1-3'!D$7,1/'Langkah 1-3'!D$7),0)))),$X$4:$AA$12,2,FALSE))</f>
        <v>1</v>
      </c>
      <c r="K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1-3'!E$7),0)))),$X$4:$AA$12,2,FALSE),1/VLOOKUP(MAX(1,MIN(9,IF(MOD(IF('Langkah 1-3'!E$7&gt;=1,'Langkah 1-3'!E$7,1/'Langkah 1-3'!E$7),1)=0.5,2*ROUND(IF('Langkah 1-3'!E$7&gt;=1,'Langkah 1-3'!E$7,1/'Langkah 1-3'!E$7)/2,0),ROUND(IF('Langkah 1-3'!E$7&gt;=1,'Langkah 1-3'!E$7,1/'Langkah 1-3'!E$7),0)))),$X$4:$AA$12,4,FALSE))</f>
        <v>1.5</v>
      </c>
      <c r="L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1-3'!E$7),0)))),$X$4:$AA$12,3,FALSE),1/VLOOKUP(MAX(1,MIN(9,IF(MOD(IF('Langkah 1-3'!E$7&gt;=1,'Langkah 1-3'!E$7,1/'Langkah 1-3'!E$7),1)=0.5,2*ROUND(IF('Langkah 1-3'!E$7&gt;=1,'Langkah 1-3'!E$7,1/'Langkah 1-3'!E$7)/2,0),ROUND(IF('Langkah 1-3'!E$7&gt;=1,'Langkah 1-3'!E$7,1/'Langkah 1-3'!E$7),0)))),$X$4:$AA$12,3,FALSE))</f>
        <v>2</v>
      </c>
      <c r="M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1-3'!E$7),0)))),$X$4:$AA$12,4,FALSE),1/VLOOKUP(MAX(1,MIN(9,IF(MOD(IF('Langkah 1-3'!E$7&gt;=1,'Langkah 1-3'!E$7,1/'Langkah 1-3'!E$7),1)=0.5,2*ROUND(IF('Langkah 1-3'!E$7&gt;=1,'Langkah 1-3'!E$7,1/'Langkah 1-3'!E$7)/2,0),ROUND(IF('Langkah 1-3'!E$7&gt;=1,'Langkah 1-3'!E$7,1/'Langkah 1-3'!E$7),0)))),$X$4:$AA$12,2,FALSE))</f>
        <v>2.5</v>
      </c>
      <c r="N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1-3'!F$7),0)))),$X$4:$AA$12,2,FALSE),1/VLOOKUP(MAX(1,MIN(9,IF(MOD(IF('Langkah 1-3'!F$7&gt;=1,'Langkah 1-3'!F$7,1/'Langkah 1-3'!F$7),1)=0.5,2*ROUND(IF('Langkah 1-3'!F$7&gt;=1,'Langkah 1-3'!F$7,1/'Langkah 1-3'!F$7)/2,0),ROUND(IF('Langkah 1-3'!F$7&gt;=1,'Langkah 1-3'!F$7,1/'Langkah 1-3'!F$7),0)))),$X$4:$AA$12,4,FALSE))</f>
        <v>0.5</v>
      </c>
      <c r="O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1-3'!F$7),0)))),$X$4:$AA$12,3,FALSE),1/VLOOKUP(MAX(1,MIN(9,IF(MOD(IF('Langkah 1-3'!F$7&gt;=1,'Langkah 1-3'!F$7,1/'Langkah 1-3'!F$7),1)=0.5,2*ROUND(IF('Langkah 1-3'!F$7&gt;=1,'Langkah 1-3'!F$7,1/'Langkah 1-3'!F$7)/2,0),ROUND(IF('Langkah 1-3'!F$7&gt;=1,'Langkah 1-3'!F$7,1/'Langkah 1-3'!F$7),0)))),$X$4:$AA$12,3,FALSE))</f>
        <v>1</v>
      </c>
      <c r="P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1-3'!F$7),0)))),$X$4:$AA$12,4,FALSE),1/VLOOKUP(MAX(1,MIN(9,IF(MOD(IF('Langkah 1-3'!F$7&gt;=1,'Langkah 1-3'!F$7,1/'Langkah 1-3'!F$7),1)=0.5,2*ROUND(IF('Langkah 1-3'!F$7&gt;=1,'Langkah 1-3'!F$7,1/'Langkah 1-3'!F$7)/2,0),ROUND(IF('Langkah 1-3'!F$7&gt;=1,'Langkah 1-3'!F$7,1/'Langkah 1-3'!F$7),0)))),$X$4:$AA$12,2,FALSE))</f>
        <v>1.5</v>
      </c>
      <c r="Q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1-3'!G$7),0)))),$X$4:$AA$12,2,FALSE),1/VLOOKUP(MAX(1,MIN(9,IF(MOD(IF('Langkah 1-3'!G$7&gt;=1,'Langkah 1-3'!G$7,1/'Langkah 1-3'!G$7),1)=0.5,2*ROUND(IF('Langkah 1-3'!G$7&gt;=1,'Langkah 1-3'!G$7,1/'Langkah 1-3'!G$7)/2,0),ROUND(IF('Langkah 1-3'!G$7&gt;=1,'Langkah 1-3'!G$7,1/'Langkah 1-3'!G$7),0)))),$X$4:$AA$12,4,FALSE))</f>
        <v>1</v>
      </c>
      <c r="R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1-3'!G$7),0)))),$X$4:$AA$12,3,FALSE),1/VLOOKUP(MAX(1,MIN(9,IF(MOD(IF('Langkah 1-3'!G$7&gt;=1,'Langkah 1-3'!G$7,1/'Langkah 1-3'!G$7),1)=0.5,2*ROUND(IF('Langkah 1-3'!G$7&gt;=1,'Langkah 1-3'!G$7,1/'Langkah 1-3'!G$7)/2,0),ROUND(IF('Langkah 1-3'!G$7&gt;=1,'Langkah 1-3'!G$7,1/'Langkah 1-3'!G$7),0)))),$X$4:$AA$12,3,FALSE))</f>
        <v>1</v>
      </c>
      <c r="S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1-3'!G$7),0)))),$X$4:$AA$12,4,FALSE),1/VLOOKUP(MAX(1,MIN(9,IF(MOD(IF('Langkah 1-3'!G$7&gt;=1,'Langkah 1-3'!G$7,1/'Langkah 1-3'!G$7),1)=0.5,2*ROUND(IF('Langkah 1-3'!G$7&gt;=1,'Langkah 1-3'!G$7,1/'Langkah 1-3'!G$7)/2,0),ROUND(IF('Langkah 1-3'!G$7&gt;=1,'Langkah 1-3'!G$7,1/'Langkah 1-3'!G$7),0)))),$X$4:$AA$12,2,FALSE))</f>
        <v>1</v>
      </c>
      <c r="X8">
        <v>5</v>
      </c>
      <c r="Y8">
        <v>2</v>
      </c>
      <c r="Z8">
        <v>2.5</v>
      </c>
      <c r="AA8">
        <v>3</v>
      </c>
    </row>
    <row r="9" spans="1:27" x14ac:dyDescent="0.3">
      <c r="A9" s="3" t="s">
        <v>11</v>
      </c>
      <c r="B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1-3'!B$8),0)))),$X$4:$AA$12,2,FALSE),1/VLOOKUP(MAX(1,MIN(9,IF(MOD(IF('Langkah 1-3'!B$8&gt;=1,'Langkah 1-3'!B$8,1/'Langkah 1-3'!B$8),1)=0.5,2*ROUND(IF('Langkah 1-3'!B$8&gt;=1,'Langkah 1-3'!B$8,1/'Langkah 1-3'!B$8)/2,0),ROUND(IF('Langkah 1-3'!B$8&gt;=1,'Langkah 1-3'!B$8,1/'Langkah 1-3'!B$8),0)))),$X$4:$AA$12,4,FALSE))</f>
        <v>0.66666666666666663</v>
      </c>
      <c r="C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1-3'!B$8),0)))),$X$4:$AA$12,3,FALSE),1/VLOOKUP(MAX(1,MIN(9,IF(MOD(IF('Langkah 1-3'!B$8&gt;=1,'Langkah 1-3'!B$8,1/'Langkah 1-3'!B$8),1)=0.5,2*ROUND(IF('Langkah 1-3'!B$8&gt;=1,'Langkah 1-3'!B$8,1/'Langkah 1-3'!B$8)/2,0),ROUND(IF('Langkah 1-3'!B$8&gt;=1,'Langkah 1-3'!B$8,1/'Langkah 1-3'!B$8),0)))),$X$4:$AA$12,3,FALSE))</f>
        <v>1</v>
      </c>
      <c r="D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1-3'!B$8),0)))),$X$4:$AA$12,4,FALSE),1/VLOOKUP(MAX(1,MIN(9,IF(MOD(IF('Langkah 1-3'!B$8&gt;=1,'Langkah 1-3'!B$8,1/'Langkah 1-3'!B$8),1)=0.5,2*ROUND(IF('Langkah 1-3'!B$8&gt;=1,'Langkah 1-3'!B$8,1/'Langkah 1-3'!B$8)/2,0),ROUND(IF('Langkah 1-3'!B$8&gt;=1,'Langkah 1-3'!B$8,1/'Langkah 1-3'!B$8),0)))),$X$4:$AA$12,2,FALSE))</f>
        <v>2</v>
      </c>
      <c r="E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1-3'!C$8),0)))),$X$4:$AA$12,2,FALSE),1/VLOOKUP(MAX(1,MIN(9,IF(MOD(IF('Langkah 1-3'!C$8&gt;=1,'Langkah 1-3'!C$8,1/'Langkah 1-3'!C$8),1)=0.5,2*ROUND(IF('Langkah 1-3'!C$8&gt;=1,'Langkah 1-3'!C$8,1/'Langkah 1-3'!C$8)/2,0),ROUND(IF('Langkah 1-3'!C$8&gt;=1,'Langkah 1-3'!C$8,1/'Langkah 1-3'!C$8),0)))),$X$4:$AA$12,4,FALSE))</f>
        <v>0.4</v>
      </c>
      <c r="F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1-3'!C$8),0)))),$X$4:$AA$12,3,FALSE),1/VLOOKUP(MAX(1,MIN(9,IF(MOD(IF('Langkah 1-3'!C$8&gt;=1,'Langkah 1-3'!C$8,1/'Langkah 1-3'!C$8),1)=0.5,2*ROUND(IF('Langkah 1-3'!C$8&gt;=1,'Langkah 1-3'!C$8,1/'Langkah 1-3'!C$8)/2,0),ROUND(IF('Langkah 1-3'!C$8&gt;=1,'Langkah 1-3'!C$8,1/'Langkah 1-3'!C$8),0)))),$X$4:$AA$12,3,FALSE))</f>
        <v>0.5</v>
      </c>
      <c r="G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1-3'!C$8),0)))),$X$4:$AA$12,4,FALSE),1/VLOOKUP(MAX(1,MIN(9,IF(MOD(IF('Langkah 1-3'!C$8&gt;=1,'Langkah 1-3'!C$8,1/'Langkah 1-3'!C$8),1)=0.5,2*ROUND(IF('Langkah 1-3'!C$8&gt;=1,'Langkah 1-3'!C$8,1/'Langkah 1-3'!C$8)/2,0),ROUND(IF('Langkah 1-3'!C$8&gt;=1,'Langkah 1-3'!C$8,1/'Langkah 1-3'!C$8),0)))),$X$4:$AA$12,2,FALSE))</f>
        <v>0.66666666666666663</v>
      </c>
      <c r="H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1-3'!D$8),0)))),$X$4:$AA$12,2,FALSE),1/VLOOKUP(MAX(1,MIN(9,IF(MOD(IF('Langkah 1-3'!D$8&gt;=1,'Langkah 1-3'!D$8,1/'Langkah 1-3'!D$8),1)=0.5,2*ROUND(IF('Langkah 1-3'!D$8&gt;=1,'Langkah 1-3'!D$8,1/'Langkah 1-3'!D$8)/2,0),ROUND(IF('Langkah 1-3'!D$8&gt;=1,'Langkah 1-3'!D$8,1/'Langkah 1-3'!D$8),0)))),$X$4:$AA$12,4,FALSE))</f>
        <v>0.4</v>
      </c>
      <c r="I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1-3'!D$8),0)))),$X$4:$AA$12,3,FALSE),1/VLOOKUP(MAX(1,MIN(9,IF(MOD(IF('Langkah 1-3'!D$8&gt;=1,'Langkah 1-3'!D$8,1/'Langkah 1-3'!D$8),1)=0.5,2*ROUND(IF('Langkah 1-3'!D$8&gt;=1,'Langkah 1-3'!D$8,1/'Langkah 1-3'!D$8)/2,0),ROUND(IF('Langkah 1-3'!D$8&gt;=1,'Langkah 1-3'!D$8,1/'Langkah 1-3'!D$8),0)))),$X$4:$AA$12,3,FALSE))</f>
        <v>0.5</v>
      </c>
      <c r="J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1-3'!D$8),0)))),$X$4:$AA$12,4,FALSE),1/VLOOKUP(MAX(1,MIN(9,IF(MOD(IF('Langkah 1-3'!D$8&gt;=1,'Langkah 1-3'!D$8,1/'Langkah 1-3'!D$8),1)=0.5,2*ROUND(IF('Langkah 1-3'!D$8&gt;=1,'Langkah 1-3'!D$8,1/'Langkah 1-3'!D$8)/2,0),ROUND(IF('Langkah 1-3'!D$8&gt;=1,'Langkah 1-3'!D$8,1/'Langkah 1-3'!D$8),0)))),$X$4:$AA$12,2,FALSE))</f>
        <v>0.66666666666666663</v>
      </c>
      <c r="K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1-3'!E$8),0)))),$X$4:$AA$12,2,FALSE),1/VLOOKUP(MAX(1,MIN(9,IF(MOD(IF('Langkah 1-3'!E$8&gt;=1,'Langkah 1-3'!E$8,1/'Langkah 1-3'!E$8),1)=0.5,2*ROUND(IF('Langkah 1-3'!E$8&gt;=1,'Langkah 1-3'!E$8,1/'Langkah 1-3'!E$8)/2,0),ROUND(IF('Langkah 1-3'!E$8&gt;=1,'Langkah 1-3'!E$8,1/'Langkah 1-3'!E$8),0)))),$X$4:$AA$12,4,FALSE))</f>
        <v>1</v>
      </c>
      <c r="L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1-3'!E$8),0)))),$X$4:$AA$12,3,FALSE),1/VLOOKUP(MAX(1,MIN(9,IF(MOD(IF('Langkah 1-3'!E$8&gt;=1,'Langkah 1-3'!E$8,1/'Langkah 1-3'!E$8),1)=0.5,2*ROUND(IF('Langkah 1-3'!E$8&gt;=1,'Langkah 1-3'!E$8,1/'Langkah 1-3'!E$8)/2,0),ROUND(IF('Langkah 1-3'!E$8&gt;=1,'Langkah 1-3'!E$8,1/'Langkah 1-3'!E$8),0)))),$X$4:$AA$12,3,FALSE))</f>
        <v>1</v>
      </c>
      <c r="M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1-3'!E$8),0)))),$X$4:$AA$12,4,FALSE),1/VLOOKUP(MAX(1,MIN(9,IF(MOD(IF('Langkah 1-3'!E$8&gt;=1,'Langkah 1-3'!E$8,1/'Langkah 1-3'!E$8),1)=0.5,2*ROUND(IF('Langkah 1-3'!E$8&gt;=1,'Langkah 1-3'!E$8,1/'Langkah 1-3'!E$8)/2,0),ROUND(IF('Langkah 1-3'!E$8&gt;=1,'Langkah 1-3'!E$8,1/'Langkah 1-3'!E$8),0)))),$X$4:$AA$12,2,FALSE))</f>
        <v>1</v>
      </c>
      <c r="N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1-3'!F$8),0)))),$X$4:$AA$12,2,FALSE),1/VLOOKUP(MAX(1,MIN(9,IF(MOD(IF('Langkah 1-3'!F$8&gt;=1,'Langkah 1-3'!F$8,1/'Langkah 1-3'!F$8),1)=0.5,2*ROUND(IF('Langkah 1-3'!F$8&gt;=1,'Langkah 1-3'!F$8,1/'Langkah 1-3'!F$8)/2,0),ROUND(IF('Langkah 1-3'!F$8&gt;=1,'Langkah 1-3'!F$8,1/'Langkah 1-3'!F$8),0)))),$X$4:$AA$12,4,FALSE))</f>
        <v>0.66666666666666663</v>
      </c>
      <c r="O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1-3'!F$8),0)))),$X$4:$AA$12,3,FALSE),1/VLOOKUP(MAX(1,MIN(9,IF(MOD(IF('Langkah 1-3'!F$8&gt;=1,'Langkah 1-3'!F$8,1/'Langkah 1-3'!F$8),1)=0.5,2*ROUND(IF('Langkah 1-3'!F$8&gt;=1,'Langkah 1-3'!F$8,1/'Langkah 1-3'!F$8)/2,0),ROUND(IF('Langkah 1-3'!F$8&gt;=1,'Langkah 1-3'!F$8,1/'Langkah 1-3'!F$8),0)))),$X$4:$AA$12,3,FALSE))</f>
        <v>1</v>
      </c>
      <c r="P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1-3'!F$8),0)))),$X$4:$AA$12,4,FALSE),1/VLOOKUP(MAX(1,MIN(9,IF(MOD(IF('Langkah 1-3'!F$8&gt;=1,'Langkah 1-3'!F$8,1/'Langkah 1-3'!F$8),1)=0.5,2*ROUND(IF('Langkah 1-3'!F$8&gt;=1,'Langkah 1-3'!F$8,1/'Langkah 1-3'!F$8)/2,0),ROUND(IF('Langkah 1-3'!F$8&gt;=1,'Langkah 1-3'!F$8,1/'Langkah 1-3'!F$8),0)))),$X$4:$AA$12,2,FALSE))</f>
        <v>2</v>
      </c>
      <c r="Q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1-3'!G$8),0)))),$X$4:$AA$12,2,FALSE),1/VLOOKUP(MAX(1,MIN(9,IF(MOD(IF('Langkah 1-3'!G$8&gt;=1,'Langkah 1-3'!G$8,1/'Langkah 1-3'!G$8),1)=0.5,2*ROUND(IF('Langkah 1-3'!G$8&gt;=1,'Langkah 1-3'!G$8,1/'Langkah 1-3'!G$8)/2,0),ROUND(IF('Langkah 1-3'!G$8&gt;=1,'Langkah 1-3'!G$8,1/'Langkah 1-3'!G$8),0)))),$X$4:$AA$12,4,FALSE))</f>
        <v>0.4</v>
      </c>
      <c r="R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1-3'!G$8),0)))),$X$4:$AA$12,3,FALSE),1/VLOOKUP(MAX(1,MIN(9,IF(MOD(IF('Langkah 1-3'!G$8&gt;=1,'Langkah 1-3'!G$8,1/'Langkah 1-3'!G$8),1)=0.5,2*ROUND(IF('Langkah 1-3'!G$8&gt;=1,'Langkah 1-3'!G$8,1/'Langkah 1-3'!G$8)/2,0),ROUND(IF('Langkah 1-3'!G$8&gt;=1,'Langkah 1-3'!G$8,1/'Langkah 1-3'!G$8),0)))),$X$4:$AA$12,3,FALSE))</f>
        <v>0.5</v>
      </c>
      <c r="S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1-3'!G$8),0)))),$X$4:$AA$12,4,FALSE),1/VLOOKUP(MAX(1,MIN(9,IF(MOD(IF('Langkah 1-3'!G$8&gt;=1,'Langkah 1-3'!G$8,1/'Langkah 1-3'!G$8),1)=0.5,2*ROUND(IF('Langkah 1-3'!G$8&gt;=1,'Langkah 1-3'!G$8,1/'Langkah 1-3'!G$8)/2,0),ROUND(IF('Langkah 1-3'!G$8&gt;=1,'Langkah 1-3'!G$8,1/'Langkah 1-3'!G$8),0)))),$X$4:$AA$12,2,FALSE))</f>
        <v>0.66666666666666663</v>
      </c>
      <c r="X9">
        <v>6</v>
      </c>
      <c r="Y9">
        <v>2.5</v>
      </c>
      <c r="Z9">
        <v>3</v>
      </c>
      <c r="AA9">
        <v>3.5</v>
      </c>
    </row>
    <row r="10" spans="1:27" x14ac:dyDescent="0.3">
      <c r="A10" s="3" t="s">
        <v>13</v>
      </c>
      <c r="B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1-3'!B$9),0)))),$X$4:$AA$12,2,FALSE),1/VLOOKUP(MAX(1,MIN(9,IF(MOD(IF('Langkah 1-3'!B$9&gt;=1,'Langkah 1-3'!B$9,1/'Langkah 1-3'!B$9),1)=0.5,2*ROUND(IF('Langkah 1-3'!B$9&gt;=1,'Langkah 1-3'!B$9,1/'Langkah 1-3'!B$9)/2,0),ROUND(IF('Langkah 1-3'!B$9&gt;=1,'Langkah 1-3'!B$9,1/'Langkah 1-3'!B$9),0)))),$X$4:$AA$12,4,FALSE))</f>
        <v>1</v>
      </c>
      <c r="C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1-3'!B$9),0)))),$X$4:$AA$12,3,FALSE),1/VLOOKUP(MAX(1,MIN(9,IF(MOD(IF('Langkah 1-3'!B$9&gt;=1,'Langkah 1-3'!B$9,1/'Langkah 1-3'!B$9),1)=0.5,2*ROUND(IF('Langkah 1-3'!B$9&gt;=1,'Langkah 1-3'!B$9,1/'Langkah 1-3'!B$9)/2,0),ROUND(IF('Langkah 1-3'!B$9&gt;=1,'Langkah 1-3'!B$9,1/'Langkah 1-3'!B$9),0)))),$X$4:$AA$12,3,FALSE))</f>
        <v>1</v>
      </c>
      <c r="D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1-3'!B$9),0)))),$X$4:$AA$12,4,FALSE),1/VLOOKUP(MAX(1,MIN(9,IF(MOD(IF('Langkah 1-3'!B$9&gt;=1,'Langkah 1-3'!B$9,1/'Langkah 1-3'!B$9),1)=0.5,2*ROUND(IF('Langkah 1-3'!B$9&gt;=1,'Langkah 1-3'!B$9,1/'Langkah 1-3'!B$9)/2,0),ROUND(IF('Langkah 1-3'!B$9&gt;=1,'Langkah 1-3'!B$9,1/'Langkah 1-3'!B$9),0)))),$X$4:$AA$12,2,FALSE))</f>
        <v>1</v>
      </c>
      <c r="E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1-3'!C$9),0)))),$X$4:$AA$12,2,FALSE),1/VLOOKUP(MAX(1,MIN(9,IF(MOD(IF('Langkah 1-3'!C$9&gt;=1,'Langkah 1-3'!C$9,1/'Langkah 1-3'!C$9),1)=0.5,2*ROUND(IF('Langkah 1-3'!C$9&gt;=1,'Langkah 1-3'!C$9,1/'Langkah 1-3'!C$9)/2,0),ROUND(IF('Langkah 1-3'!C$9&gt;=1,'Langkah 1-3'!C$9,1/'Langkah 1-3'!C$9),0)))),$X$4:$AA$12,4,FALSE))</f>
        <v>0.66666666666666663</v>
      </c>
      <c r="F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1-3'!C$9),0)))),$X$4:$AA$12,3,FALSE),1/VLOOKUP(MAX(1,MIN(9,IF(MOD(IF('Langkah 1-3'!C$9&gt;=1,'Langkah 1-3'!C$9,1/'Langkah 1-3'!C$9),1)=0.5,2*ROUND(IF('Langkah 1-3'!C$9&gt;=1,'Langkah 1-3'!C$9,1/'Langkah 1-3'!C$9)/2,0),ROUND(IF('Langkah 1-3'!C$9&gt;=1,'Langkah 1-3'!C$9,1/'Langkah 1-3'!C$9),0)))),$X$4:$AA$12,3,FALSE))</f>
        <v>1</v>
      </c>
      <c r="G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1-3'!C$9),0)))),$X$4:$AA$12,4,FALSE),1/VLOOKUP(MAX(1,MIN(9,IF(MOD(IF('Langkah 1-3'!C$9&gt;=1,'Langkah 1-3'!C$9,1/'Langkah 1-3'!C$9),1)=0.5,2*ROUND(IF('Langkah 1-3'!C$9&gt;=1,'Langkah 1-3'!C$9,1/'Langkah 1-3'!C$9)/2,0),ROUND(IF('Langkah 1-3'!C$9&gt;=1,'Langkah 1-3'!C$9,1/'Langkah 1-3'!C$9),0)))),$X$4:$AA$12,2,FALSE))</f>
        <v>2</v>
      </c>
      <c r="H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1-3'!D$9),0)))),$X$4:$AA$12,2,FALSE),1/VLOOKUP(MAX(1,MIN(9,IF(MOD(IF('Langkah 1-3'!D$9&gt;=1,'Langkah 1-3'!D$9,1/'Langkah 1-3'!D$9),1)=0.5,2*ROUND(IF('Langkah 1-3'!D$9&gt;=1,'Langkah 1-3'!D$9,1/'Langkah 1-3'!D$9)/2,0),ROUND(IF('Langkah 1-3'!D$9&gt;=1,'Langkah 1-3'!D$9,1/'Langkah 1-3'!D$9),0)))),$X$4:$AA$12,4,FALSE))</f>
        <v>0.66666666666666663</v>
      </c>
      <c r="I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1-3'!D$9),0)))),$X$4:$AA$12,3,FALSE),1/VLOOKUP(MAX(1,MIN(9,IF(MOD(IF('Langkah 1-3'!D$9&gt;=1,'Langkah 1-3'!D$9,1/'Langkah 1-3'!D$9),1)=0.5,2*ROUND(IF('Langkah 1-3'!D$9&gt;=1,'Langkah 1-3'!D$9,1/'Langkah 1-3'!D$9)/2,0),ROUND(IF('Langkah 1-3'!D$9&gt;=1,'Langkah 1-3'!D$9,1/'Langkah 1-3'!D$9),0)))),$X$4:$AA$12,3,FALSE))</f>
        <v>1</v>
      </c>
      <c r="J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1-3'!D$9),0)))),$X$4:$AA$12,4,FALSE),1/VLOOKUP(MAX(1,MIN(9,IF(MOD(IF('Langkah 1-3'!D$9&gt;=1,'Langkah 1-3'!D$9,1/'Langkah 1-3'!D$9),1)=0.5,2*ROUND(IF('Langkah 1-3'!D$9&gt;=1,'Langkah 1-3'!D$9,1/'Langkah 1-3'!D$9)/2,0),ROUND(IF('Langkah 1-3'!D$9&gt;=1,'Langkah 1-3'!D$9,1/'Langkah 1-3'!D$9),0)))),$X$4:$AA$12,2,FALSE))</f>
        <v>2</v>
      </c>
      <c r="K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1-3'!E$9),0)))),$X$4:$AA$12,2,FALSE),1/VLOOKUP(MAX(1,MIN(9,IF(MOD(IF('Langkah 1-3'!E$9&gt;=1,'Langkah 1-3'!E$9,1/'Langkah 1-3'!E$9),1)=0.5,2*ROUND(IF('Langkah 1-3'!E$9&gt;=1,'Langkah 1-3'!E$9,1/'Langkah 1-3'!E$9)/2,0),ROUND(IF('Langkah 1-3'!E$9&gt;=1,'Langkah 1-3'!E$9,1/'Langkah 1-3'!E$9),0)))),$X$4:$AA$12,4,FALSE))</f>
        <v>0.5</v>
      </c>
      <c r="L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1-3'!E$9),0)))),$X$4:$AA$12,3,FALSE),1/VLOOKUP(MAX(1,MIN(9,IF(MOD(IF('Langkah 1-3'!E$9&gt;=1,'Langkah 1-3'!E$9,1/'Langkah 1-3'!E$9),1)=0.5,2*ROUND(IF('Langkah 1-3'!E$9&gt;=1,'Langkah 1-3'!E$9,1/'Langkah 1-3'!E$9)/2,0),ROUND(IF('Langkah 1-3'!E$9&gt;=1,'Langkah 1-3'!E$9,1/'Langkah 1-3'!E$9),0)))),$X$4:$AA$12,3,FALSE))</f>
        <v>1</v>
      </c>
      <c r="M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1-3'!E$9),0)))),$X$4:$AA$12,4,FALSE),1/VLOOKUP(MAX(1,MIN(9,IF(MOD(IF('Langkah 1-3'!E$9&gt;=1,'Langkah 1-3'!E$9,1/'Langkah 1-3'!E$9),1)=0.5,2*ROUND(IF('Langkah 1-3'!E$9&gt;=1,'Langkah 1-3'!E$9,1/'Langkah 1-3'!E$9)/2,0),ROUND(IF('Langkah 1-3'!E$9&gt;=1,'Langkah 1-3'!E$9,1/'Langkah 1-3'!E$9),0)))),$X$4:$AA$12,2,FALSE))</f>
        <v>1.5</v>
      </c>
      <c r="N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1-3'!F$9),0)))),$X$4:$AA$12,2,FALSE),1/VLOOKUP(MAX(1,MIN(9,IF(MOD(IF('Langkah 1-3'!F$9&gt;=1,'Langkah 1-3'!F$9,1/'Langkah 1-3'!F$9),1)=0.5,2*ROUND(IF('Langkah 1-3'!F$9&gt;=1,'Langkah 1-3'!F$9,1/'Langkah 1-3'!F$9)/2,0),ROUND(IF('Langkah 1-3'!F$9&gt;=1,'Langkah 1-3'!F$9,1/'Langkah 1-3'!F$9),0)))),$X$4:$AA$12,4,FALSE))</f>
        <v>1</v>
      </c>
      <c r="O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1-3'!F$9),0)))),$X$4:$AA$12,3,FALSE),1/VLOOKUP(MAX(1,MIN(9,IF(MOD(IF('Langkah 1-3'!F$9&gt;=1,'Langkah 1-3'!F$9,1/'Langkah 1-3'!F$9),1)=0.5,2*ROUND(IF('Langkah 1-3'!F$9&gt;=1,'Langkah 1-3'!F$9,1/'Langkah 1-3'!F$9)/2,0),ROUND(IF('Langkah 1-3'!F$9&gt;=1,'Langkah 1-3'!F$9,1/'Langkah 1-3'!F$9),0)))),$X$4:$AA$12,3,FALSE))</f>
        <v>1</v>
      </c>
      <c r="P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1-3'!F$9),0)))),$X$4:$AA$12,4,FALSE),1/VLOOKUP(MAX(1,MIN(9,IF(MOD(IF('Langkah 1-3'!F$9&gt;=1,'Langkah 1-3'!F$9,1/'Langkah 1-3'!F$9),1)=0.5,2*ROUND(IF('Langkah 1-3'!F$9&gt;=1,'Langkah 1-3'!F$9,1/'Langkah 1-3'!F$9)/2,0),ROUND(IF('Langkah 1-3'!F$9&gt;=1,'Langkah 1-3'!F$9,1/'Langkah 1-3'!F$9),0)))),$X$4:$AA$12,2,FALSE))</f>
        <v>1</v>
      </c>
      <c r="Q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1-3'!G$9),0)))),$X$4:$AA$12,2,FALSE),1/VLOOKUP(MAX(1,MIN(9,IF(MOD(IF('Langkah 1-3'!G$9&gt;=1,'Langkah 1-3'!G$9,1/'Langkah 1-3'!G$9),1)=0.5,2*ROUND(IF('Langkah 1-3'!G$9&gt;=1,'Langkah 1-3'!G$9,1/'Langkah 1-3'!G$9)/2,0),ROUND(IF('Langkah 1-3'!G$9&gt;=1,'Langkah 1-3'!G$9,1/'Langkah 1-3'!G$9),0)))),$X$4:$AA$12,4,FALSE))</f>
        <v>0.66666666666666663</v>
      </c>
      <c r="R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1-3'!G$9),0)))),$X$4:$AA$12,3,FALSE),1/VLOOKUP(MAX(1,MIN(9,IF(MOD(IF('Langkah 1-3'!G$9&gt;=1,'Langkah 1-3'!G$9,1/'Langkah 1-3'!G$9),1)=0.5,2*ROUND(IF('Langkah 1-3'!G$9&gt;=1,'Langkah 1-3'!G$9,1/'Langkah 1-3'!G$9)/2,0),ROUND(IF('Langkah 1-3'!G$9&gt;=1,'Langkah 1-3'!G$9,1/'Langkah 1-3'!G$9),0)))),$X$4:$AA$12,3,FALSE))</f>
        <v>1</v>
      </c>
      <c r="S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1-3'!G$9),0)))),$X$4:$AA$12,4,FALSE),1/VLOOKUP(MAX(1,MIN(9,IF(MOD(IF('Langkah 1-3'!G$9&gt;=1,'Langkah 1-3'!G$9,1/'Langkah 1-3'!G$9),1)=0.5,2*ROUND(IF('Langkah 1-3'!G$9&gt;=1,'Langkah 1-3'!G$9,1/'Langkah 1-3'!G$9)/2,0),ROUND(IF('Langkah 1-3'!G$9&gt;=1,'Langkah 1-3'!G$9,1/'Langkah 1-3'!G$9),0)))),$X$4:$AA$12,2,FALSE))</f>
        <v>2</v>
      </c>
      <c r="X10">
        <v>7</v>
      </c>
      <c r="Y10">
        <v>3</v>
      </c>
      <c r="Z10">
        <v>3.5</v>
      </c>
      <c r="AA10">
        <v>4</v>
      </c>
    </row>
    <row r="11" spans="1:27" x14ac:dyDescent="0.3">
      <c r="A11" s="3" t="s">
        <v>15</v>
      </c>
      <c r="B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1-3'!B$10),0)))),$X$4:$AA$12,4,FALSE))</f>
        <v>0.5</v>
      </c>
      <c r="C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1-3'!B$10),0)))),$X$4:$AA$12,3,FALSE))</f>
        <v>1</v>
      </c>
      <c r="D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1-3'!B$10),0)))),$X$4:$AA$12,2,FALSE))</f>
        <v>1.5</v>
      </c>
      <c r="E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1-3'!C$10),0)))),$X$4:$AA$12,4,FALSE))</f>
        <v>1</v>
      </c>
      <c r="F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1-3'!C$10),0)))),$X$4:$AA$12,3,FALSE))</f>
        <v>1</v>
      </c>
      <c r="G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1-3'!C$10),0)))),$X$4:$AA$12,2,FALSE))</f>
        <v>1</v>
      </c>
      <c r="H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1-3'!D$10),0)))),$X$4:$AA$12,4,FALSE))</f>
        <v>1</v>
      </c>
      <c r="I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1-3'!D$10),0)))),$X$4:$AA$12,3,FALSE))</f>
        <v>1</v>
      </c>
      <c r="J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1-3'!D$10),0)))),$X$4:$AA$12,2,FALSE))</f>
        <v>1</v>
      </c>
      <c r="K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1-3'!E$10),0)))),$X$4:$AA$12,4,FALSE))</f>
        <v>1.5</v>
      </c>
      <c r="L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1-3'!E$10),0)))),$X$4:$AA$12,3,FALSE))</f>
        <v>2</v>
      </c>
      <c r="M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1-3'!E$10),0)))),$X$4:$AA$12,2,FALSE))</f>
        <v>2.5</v>
      </c>
      <c r="N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1-3'!F$10),0)))),$X$4:$AA$12,4,FALSE))</f>
        <v>0.5</v>
      </c>
      <c r="O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1-3'!F$10),0)))),$X$4:$AA$12,3,FALSE))</f>
        <v>1</v>
      </c>
      <c r="P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1-3'!F$10),0)))),$X$4:$AA$12,2,FALSE))</f>
        <v>1.5</v>
      </c>
      <c r="Q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1-3'!G$10),0)))),$X$4:$AA$12,4,FALSE))</f>
        <v>1</v>
      </c>
      <c r="R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1-3'!G$10),0)))),$X$4:$AA$12,3,FALSE))</f>
        <v>1</v>
      </c>
      <c r="S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1-3'!G$10),0)))),$X$4:$AA$12,2,FALSE))</f>
        <v>1</v>
      </c>
      <c r="X11">
        <v>8</v>
      </c>
      <c r="Y11">
        <v>3.5</v>
      </c>
      <c r="Z11">
        <v>4</v>
      </c>
      <c r="AA11">
        <v>4.5</v>
      </c>
    </row>
    <row r="12" spans="1:27" x14ac:dyDescent="0.3">
      <c r="X12">
        <v>9</v>
      </c>
      <c r="Y12">
        <v>4</v>
      </c>
      <c r="Z12">
        <v>4.5</v>
      </c>
      <c r="AA12">
        <v>4.5</v>
      </c>
    </row>
    <row r="13" spans="1:27" x14ac:dyDescent="0.3">
      <c r="A13" s="57" t="s">
        <v>55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spans="1:27" x14ac:dyDescent="0.3">
      <c r="A14" s="27" t="s">
        <v>56</v>
      </c>
    </row>
    <row r="15" spans="1:27" x14ac:dyDescent="0.3">
      <c r="A15" s="28" t="s">
        <v>3</v>
      </c>
      <c r="B15" s="28" t="s">
        <v>57</v>
      </c>
      <c r="C15" s="28" t="s">
        <v>58</v>
      </c>
      <c r="D15" s="28" t="s">
        <v>59</v>
      </c>
    </row>
    <row r="16" spans="1:27" x14ac:dyDescent="0.3">
      <c r="A16" s="3" t="s">
        <v>6</v>
      </c>
      <c r="B16" s="29">
        <f t="shared" ref="B16:D21" si="0">B6+E6+H6+K6+N6+Q6</f>
        <v>4.833333333333333</v>
      </c>
      <c r="C16" s="29">
        <f t="shared" si="0"/>
        <v>6</v>
      </c>
      <c r="D16" s="29">
        <f t="shared" si="0"/>
        <v>8.5</v>
      </c>
    </row>
    <row r="17" spans="1:4" x14ac:dyDescent="0.3">
      <c r="A17" s="3" t="s">
        <v>8</v>
      </c>
      <c r="B17" s="29">
        <f t="shared" si="0"/>
        <v>5.5</v>
      </c>
      <c r="C17" s="29">
        <f t="shared" si="0"/>
        <v>7</v>
      </c>
      <c r="D17" s="29">
        <f t="shared" si="0"/>
        <v>8.5</v>
      </c>
    </row>
    <row r="18" spans="1:4" x14ac:dyDescent="0.3">
      <c r="A18" s="3" t="s">
        <v>10</v>
      </c>
      <c r="B18" s="29">
        <f t="shared" si="0"/>
        <v>6</v>
      </c>
      <c r="C18" s="29">
        <f t="shared" si="0"/>
        <v>7</v>
      </c>
      <c r="D18" s="29">
        <f t="shared" si="0"/>
        <v>8</v>
      </c>
    </row>
    <row r="19" spans="1:4" x14ac:dyDescent="0.3">
      <c r="A19" s="3" t="s">
        <v>12</v>
      </c>
      <c r="B19" s="29">
        <f t="shared" si="0"/>
        <v>3.5333333333333332</v>
      </c>
      <c r="C19" s="29">
        <f t="shared" si="0"/>
        <v>4.5</v>
      </c>
      <c r="D19" s="29">
        <f t="shared" si="0"/>
        <v>7</v>
      </c>
    </row>
    <row r="20" spans="1:4" x14ac:dyDescent="0.3">
      <c r="A20" s="3" t="s">
        <v>14</v>
      </c>
      <c r="B20" s="29">
        <f t="shared" si="0"/>
        <v>4.5</v>
      </c>
      <c r="C20" s="29">
        <f t="shared" si="0"/>
        <v>6</v>
      </c>
      <c r="D20" s="29">
        <f t="shared" si="0"/>
        <v>9.5</v>
      </c>
    </row>
    <row r="21" spans="1:4" x14ac:dyDescent="0.3">
      <c r="A21" s="3" t="s">
        <v>16</v>
      </c>
      <c r="B21" s="29">
        <f t="shared" si="0"/>
        <v>5.5</v>
      </c>
      <c r="C21" s="29">
        <f t="shared" si="0"/>
        <v>7</v>
      </c>
      <c r="D21" s="29">
        <f t="shared" si="0"/>
        <v>8.5</v>
      </c>
    </row>
    <row r="22" spans="1:4" x14ac:dyDescent="0.3">
      <c r="A22" s="4" t="s">
        <v>40</v>
      </c>
      <c r="B22" s="30">
        <f>SUM(B16:B21)</f>
        <v>29.866666666666667</v>
      </c>
      <c r="C22" s="30">
        <f>SUM(C16:C21)</f>
        <v>37.5</v>
      </c>
      <c r="D22" s="30">
        <f>SUM(D16:D21)</f>
        <v>50</v>
      </c>
    </row>
    <row r="24" spans="1:4" x14ac:dyDescent="0.3">
      <c r="A24" s="27" t="s">
        <v>60</v>
      </c>
    </row>
    <row r="25" spans="1:4" x14ac:dyDescent="0.3">
      <c r="A25" s="28" t="s">
        <v>3</v>
      </c>
      <c r="B25" s="28" t="s">
        <v>61</v>
      </c>
      <c r="C25" s="28" t="s">
        <v>62</v>
      </c>
      <c r="D25" s="28" t="s">
        <v>63</v>
      </c>
    </row>
    <row r="26" spans="1:4" x14ac:dyDescent="0.3">
      <c r="A26" s="3" t="s">
        <v>6</v>
      </c>
      <c r="B26" s="31">
        <f t="shared" ref="B26:B31" si="1">B16/$D$22</f>
        <v>9.6666666666666665E-2</v>
      </c>
      <c r="C26" s="31">
        <f t="shared" ref="C26:C31" si="2">C16/$C$22</f>
        <v>0.16</v>
      </c>
      <c r="D26" s="31">
        <f t="shared" ref="D26:D31" si="3">D16/$B$22</f>
        <v>0.2845982142857143</v>
      </c>
    </row>
    <row r="27" spans="1:4" x14ac:dyDescent="0.3">
      <c r="A27" s="3" t="s">
        <v>8</v>
      </c>
      <c r="B27" s="31">
        <f t="shared" si="1"/>
        <v>0.11</v>
      </c>
      <c r="C27" s="31">
        <f t="shared" si="2"/>
        <v>0.18666666666666668</v>
      </c>
      <c r="D27" s="31">
        <f t="shared" si="3"/>
        <v>0.2845982142857143</v>
      </c>
    </row>
    <row r="28" spans="1:4" x14ac:dyDescent="0.3">
      <c r="A28" s="3" t="s">
        <v>10</v>
      </c>
      <c r="B28" s="31">
        <f t="shared" si="1"/>
        <v>0.12</v>
      </c>
      <c r="C28" s="31">
        <f t="shared" si="2"/>
        <v>0.18666666666666668</v>
      </c>
      <c r="D28" s="31">
        <f t="shared" si="3"/>
        <v>0.26785714285714285</v>
      </c>
    </row>
    <row r="29" spans="1:4" x14ac:dyDescent="0.3">
      <c r="A29" s="3" t="s">
        <v>12</v>
      </c>
      <c r="B29" s="31">
        <f t="shared" si="1"/>
        <v>7.0666666666666669E-2</v>
      </c>
      <c r="C29" s="31">
        <f t="shared" si="2"/>
        <v>0.12</v>
      </c>
      <c r="D29" s="31">
        <f t="shared" si="3"/>
        <v>0.234375</v>
      </c>
    </row>
    <row r="30" spans="1:4" x14ac:dyDescent="0.3">
      <c r="A30" s="3" t="s">
        <v>14</v>
      </c>
      <c r="B30" s="31">
        <f t="shared" si="1"/>
        <v>0.09</v>
      </c>
      <c r="C30" s="31">
        <f t="shared" si="2"/>
        <v>0.16</v>
      </c>
      <c r="D30" s="31">
        <f t="shared" si="3"/>
        <v>0.31808035714285715</v>
      </c>
    </row>
    <row r="31" spans="1:4" x14ac:dyDescent="0.3">
      <c r="A31" s="3" t="s">
        <v>16</v>
      </c>
      <c r="B31" s="31">
        <f t="shared" si="1"/>
        <v>0.11</v>
      </c>
      <c r="C31" s="31">
        <f t="shared" si="2"/>
        <v>0.18666666666666668</v>
      </c>
      <c r="D31" s="31">
        <f t="shared" si="3"/>
        <v>0.2845982142857143</v>
      </c>
    </row>
    <row r="33" spans="1:19" x14ac:dyDescent="0.3">
      <c r="A33" s="54" t="s">
        <v>64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x14ac:dyDescent="0.3">
      <c r="A34" s="43" t="s">
        <v>65</v>
      </c>
      <c r="B34" s="39"/>
      <c r="C34" s="39"/>
      <c r="D34" s="39"/>
      <c r="E34" s="39"/>
      <c r="F34" s="39"/>
      <c r="G34" s="39"/>
    </row>
    <row r="35" spans="1:19" x14ac:dyDescent="0.3">
      <c r="A35" s="32" t="s">
        <v>66</v>
      </c>
    </row>
    <row r="36" spans="1:19" x14ac:dyDescent="0.3">
      <c r="A36" s="33" t="s">
        <v>67</v>
      </c>
      <c r="B36" s="33" t="s">
        <v>5</v>
      </c>
      <c r="C36" s="33" t="s">
        <v>7</v>
      </c>
      <c r="D36" s="33" t="s">
        <v>9</v>
      </c>
      <c r="E36" s="33" t="s">
        <v>11</v>
      </c>
      <c r="F36" s="33" t="s">
        <v>13</v>
      </c>
      <c r="G36" s="33" t="s">
        <v>15</v>
      </c>
    </row>
    <row r="37" spans="1:19" x14ac:dyDescent="0.3">
      <c r="A37" s="3" t="s">
        <v>5</v>
      </c>
      <c r="B37" s="3" t="s">
        <v>68</v>
      </c>
      <c r="C37" s="34">
        <f>IF($C$26&gt;=$C$27,1,IF($B$27&gt;=$D$26,0,($B$27-$D$26)/(($C$26-$D$26)-($C$27-$B$27))))</f>
        <v>0.8675046210720887</v>
      </c>
      <c r="D37" s="34">
        <f>IF($C$26&gt;=$C$28,1,IF($B$28&gt;=$D$26,0,($B$28-$D$26)/(($C$26-$D$26)-($C$28-$B$28))))</f>
        <v>0.86057729712907494</v>
      </c>
      <c r="E37" s="34">
        <f>IF($C$26&gt;=$C$29,1,IF($B$29&gt;=$D$26,0,($B$29-$D$26)/(($C$26-$D$26)-($C$29-$B$29))))</f>
        <v>1</v>
      </c>
      <c r="F37" s="34">
        <f>IF($C$26&gt;=$C$30,1,IF($B$30&gt;=$D$26,0,($B$30-$D$26)/(($C$26-$D$26)-($C$30-$B$30))))</f>
        <v>1</v>
      </c>
      <c r="G37" s="34">
        <f>IF($C$26&gt;=$C$31,1,IF($B$31&gt;=$D$26,0,($B$31-$D$26)/(($C$26-$D$26)-($C$31-$B$31))))</f>
        <v>0.8675046210720887</v>
      </c>
    </row>
    <row r="38" spans="1:19" x14ac:dyDescent="0.3">
      <c r="A38" s="3" t="s">
        <v>7</v>
      </c>
      <c r="B38" s="34">
        <f>IF($C$27&gt;=$C$26,1,IF($B$26&gt;=$D$27,0,($B$26-$D$27)/(($C$27-$D$27)-($C$26-$B$26))))</f>
        <v>1</v>
      </c>
      <c r="C38" s="3" t="s">
        <v>68</v>
      </c>
      <c r="D38" s="34">
        <f>IF($C$27&gt;=$C$28,1,IF($B$28&gt;=$D$27,0,($B$28-$D$27)/(($C$27-$D$27)-($C$28-$B$28))))</f>
        <v>1</v>
      </c>
      <c r="E38" s="34">
        <f>IF($C$27&gt;=$C$29,1,IF($B$29&gt;=$D$27,0,($B$29-$D$27)/(($C$27-$D$27)-($C$29-$B$29))))</f>
        <v>1</v>
      </c>
      <c r="F38" s="34">
        <f>IF($C$27&gt;=$C$30,1,IF($B$30&gt;=$D$27,0,($B$30-$D$27)/(($C$27-$D$27)-($C$30-$B$30))))</f>
        <v>1</v>
      </c>
      <c r="G38" s="34">
        <f>IF($C$27&gt;=$C$31,1,IF($B$31&gt;=$D$27,0,($B$31-$D$27)/(($C$27-$D$27)-($C$31-$B$31))))</f>
        <v>1</v>
      </c>
    </row>
    <row r="39" spans="1:19" x14ac:dyDescent="0.3">
      <c r="A39" s="3" t="s">
        <v>9</v>
      </c>
      <c r="B39" s="34">
        <f>IF($C$28&gt;=$C$26,1,IF($B$26&gt;=$D$28,0,($B$26-$D$28)/(($C$28-$D$28)-($C$26-$B$26))))</f>
        <v>1</v>
      </c>
      <c r="C39" s="34">
        <f>IF($C$28&gt;=$C$27,1,IF($B$27&gt;=$D$28,0,($B$27-$D$28)/(($C$28-$D$28)-($C$27-$B$27))))</f>
        <v>1</v>
      </c>
      <c r="D39" s="3" t="s">
        <v>68</v>
      </c>
      <c r="E39" s="34">
        <f>IF($C$28&gt;=$C$29,1,IF($B$29&gt;=$D$28,0,($B$29-$D$28)/(($C$28-$D$28)-($C$29-$B$29))))</f>
        <v>1</v>
      </c>
      <c r="F39" s="34">
        <f>IF($C$28&gt;=$C$30,1,IF($B$30&gt;=$D$28,0,($B$30-$D$28)/(($C$28-$D$28)-($C$30-$B$30))))</f>
        <v>1</v>
      </c>
      <c r="G39" s="34">
        <f>IF($C$28&gt;=$C$31,1,IF($B$31&gt;=$D$28,0,($B$31-$D$28)/(($C$28-$D$28)-($C$31-$B$31))))</f>
        <v>1</v>
      </c>
    </row>
    <row r="40" spans="1:19" x14ac:dyDescent="0.3">
      <c r="A40" s="3" t="s">
        <v>11</v>
      </c>
      <c r="B40" s="34">
        <f>IF($C$29&gt;=$C$26,1,IF($B$26&gt;=$D$29,0,($B$26-$D$29)/(($C$29-$D$29)-($C$26-$B$26))))</f>
        <v>0.77491207502930814</v>
      </c>
      <c r="C40" s="34">
        <f>IF($C$29&gt;=$C$27,1,IF($B$27&gt;=$D$29,0,($B$27-$D$29)/(($C$29-$D$29)-($C$27-$B$27))))</f>
        <v>0.65103598691384956</v>
      </c>
      <c r="D40" s="34">
        <f>IF($C$29&gt;=$C$28,1,IF($B$28&gt;=$D$29,0,($B$28-$D$29)/(($C$29-$D$29)-($C$28-$B$28))))</f>
        <v>0.63176064441887225</v>
      </c>
      <c r="E40" s="3" t="s">
        <v>68</v>
      </c>
      <c r="F40" s="34">
        <f>IF($C$29&gt;=$C$30,1,IF($B$30&gt;=$D$29,0,($B$30-$D$29)/(($C$29-$D$29)-($C$30-$B$30))))</f>
        <v>0.7830508474576271</v>
      </c>
      <c r="G40" s="34">
        <f>IF($C$29&gt;=$C$31,1,IF($B$31&gt;=$D$29,0,($B$31-$D$29)/(($C$29-$D$29)-($C$31-$B$31))))</f>
        <v>0.65103598691384956</v>
      </c>
    </row>
    <row r="41" spans="1:19" x14ac:dyDescent="0.3">
      <c r="A41" s="3" t="s">
        <v>13</v>
      </c>
      <c r="B41" s="34">
        <f>IF($C$30&gt;=$C$26,1,IF($B$26&gt;=$D$30,0,($B$26-$D$30)/(($C$30-$D$30)-($C$26-$B$26))))</f>
        <v>1</v>
      </c>
      <c r="C41" s="34">
        <f>IF($C$30&gt;=$C$27,1,IF($B$27&gt;=$D$30,0,($B$27-$D$30)/(($C$30-$D$30)-($C$27-$B$27))))</f>
        <v>0.88640253565768623</v>
      </c>
      <c r="D41" s="34">
        <f>IF($C$30&gt;=$C$28,1,IF($B$28&gt;=$D$30,0,($B$28-$D$30)/(($C$30-$D$30)-($C$28-$B$28))))</f>
        <v>0.88134807654108449</v>
      </c>
      <c r="E41" s="34">
        <f>IF($C$30&gt;=$C$29,1,IF($B$29&gt;=$D$30,0,($B$29-$D$30)/(($C$30-$D$30)-($C$29-$B$29))))</f>
        <v>1</v>
      </c>
      <c r="F41" s="3" t="s">
        <v>68</v>
      </c>
      <c r="G41" s="34">
        <f>IF($C$30&gt;=$C$31,1,IF($B$31&gt;=$D$30,0,($B$31-$D$30)/(($C$30-$D$30)-($C$31-$B$31))))</f>
        <v>0.88640253565768623</v>
      </c>
    </row>
    <row r="42" spans="1:19" x14ac:dyDescent="0.3">
      <c r="A42" s="3" t="s">
        <v>15</v>
      </c>
      <c r="B42" s="34">
        <f>IF($C$31&gt;=$C$26,1,IF($B$26&gt;=$D$31,0,($B$26-$D$31)/(($C$31-$D$31)-($C$26-$B$26))))</f>
        <v>1</v>
      </c>
      <c r="C42" s="34">
        <f>IF($C$31&gt;=$C$27,1,IF($B$27&gt;=$D$31,0,($B$27-$D$31)/(($C$31-$D$31)-($C$27-$B$27))))</f>
        <v>1</v>
      </c>
      <c r="D42" s="34">
        <f>IF($C$31&gt;=$C$28,1,IF($B$28&gt;=$D$31,0,($B$28-$D$31)/(($C$31-$D$31)-($C$28-$B$28))))</f>
        <v>1</v>
      </c>
      <c r="E42" s="34">
        <f>IF($C$31&gt;=$C$29,1,IF($B$29&gt;=$D$31,0,($B$29-$D$31)/(($C$31-$D$31)-($C$29-$B$29))))</f>
        <v>1</v>
      </c>
      <c r="F42" s="34">
        <f>IF($C$31&gt;=$C$30,1,IF($B$30&gt;=$D$31,0,($B$30-$D$31)/(($C$31-$D$31)-($C$30-$B$30))))</f>
        <v>1</v>
      </c>
      <c r="G42" s="3" t="s">
        <v>68</v>
      </c>
    </row>
    <row r="44" spans="1:19" x14ac:dyDescent="0.3">
      <c r="A44" s="32" t="s">
        <v>69</v>
      </c>
    </row>
    <row r="45" spans="1:19" x14ac:dyDescent="0.3">
      <c r="A45" s="33" t="s">
        <v>3</v>
      </c>
      <c r="B45" s="33" t="s">
        <v>70</v>
      </c>
    </row>
    <row r="46" spans="1:19" x14ac:dyDescent="0.3">
      <c r="A46" s="3" t="s">
        <v>6</v>
      </c>
      <c r="B46" s="34">
        <f>MIN(C37,D37,E37,F37,G37)</f>
        <v>0.86057729712907494</v>
      </c>
    </row>
    <row r="47" spans="1:19" x14ac:dyDescent="0.3">
      <c r="A47" s="3" t="s">
        <v>8</v>
      </c>
      <c r="B47" s="34">
        <f>MIN(B38,D38,E38,F38,G38)</f>
        <v>1</v>
      </c>
    </row>
    <row r="48" spans="1:19" x14ac:dyDescent="0.3">
      <c r="A48" s="3" t="s">
        <v>10</v>
      </c>
      <c r="B48" s="34">
        <f>MIN(B39,C39,E39,F39,G39)</f>
        <v>1</v>
      </c>
    </row>
    <row r="49" spans="1:2" x14ac:dyDescent="0.3">
      <c r="A49" s="3" t="s">
        <v>12</v>
      </c>
      <c r="B49" s="34">
        <f>MIN(B40,C40,D40,F40,G40)</f>
        <v>0.63176064441887225</v>
      </c>
    </row>
    <row r="50" spans="1:2" x14ac:dyDescent="0.3">
      <c r="A50" s="3" t="s">
        <v>14</v>
      </c>
      <c r="B50" s="34">
        <f>MIN(B41,C41,D41,E41,G41)</f>
        <v>0.88134807654108449</v>
      </c>
    </row>
    <row r="51" spans="1:2" x14ac:dyDescent="0.3">
      <c r="A51" s="3" t="s">
        <v>16</v>
      </c>
      <c r="B51" s="34">
        <f>MIN(B42,C42,D42,E42,F42)</f>
        <v>1</v>
      </c>
    </row>
    <row r="53" spans="1:2" x14ac:dyDescent="0.3">
      <c r="A53" s="32" t="s">
        <v>71</v>
      </c>
    </row>
    <row r="54" spans="1:2" x14ac:dyDescent="0.3">
      <c r="A54" s="12" t="s">
        <v>72</v>
      </c>
    </row>
    <row r="55" spans="1:2" ht="43.2" x14ac:dyDescent="0.3">
      <c r="A55" s="33" t="s">
        <v>3</v>
      </c>
      <c r="B55" s="33" t="s">
        <v>73</v>
      </c>
    </row>
    <row r="56" spans="1:2" x14ac:dyDescent="0.3">
      <c r="A56" s="3" t="s">
        <v>6</v>
      </c>
      <c r="B56" s="34">
        <f>B46/SUM(B46:B51)</f>
        <v>0.16014655382398205</v>
      </c>
    </row>
    <row r="57" spans="1:2" x14ac:dyDescent="0.3">
      <c r="A57" s="3" t="s">
        <v>8</v>
      </c>
      <c r="B57" s="34">
        <f>B47/SUM(B46:B51)</f>
        <v>0.1860920040050304</v>
      </c>
    </row>
    <row r="58" spans="1:2" x14ac:dyDescent="0.3">
      <c r="A58" s="3" t="s">
        <v>10</v>
      </c>
      <c r="B58" s="34">
        <f>B48/SUM(B46:B51)</f>
        <v>0.1860920040050304</v>
      </c>
    </row>
    <row r="59" spans="1:2" x14ac:dyDescent="0.3">
      <c r="A59" s="3" t="s">
        <v>12</v>
      </c>
      <c r="B59" s="34">
        <f>B49/SUM(B46:B51)</f>
        <v>0.11756560437141736</v>
      </c>
    </row>
    <row r="60" spans="1:2" x14ac:dyDescent="0.3">
      <c r="A60" s="3" t="s">
        <v>14</v>
      </c>
      <c r="B60" s="34">
        <f>B50/SUM(B46:B51)</f>
        <v>0.16401182978950934</v>
      </c>
    </row>
    <row r="61" spans="1:2" x14ac:dyDescent="0.3">
      <c r="A61" s="3" t="s">
        <v>16</v>
      </c>
      <c r="B61" s="34">
        <f>B51/SUM(B46:B51)</f>
        <v>0.1860920040050304</v>
      </c>
    </row>
    <row r="62" spans="1:2" x14ac:dyDescent="0.3">
      <c r="A62" s="4" t="s">
        <v>40</v>
      </c>
      <c r="B62" s="30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workbookViewId="0">
      <selection activeCell="A3" sqref="A3:H3"/>
    </sheetView>
  </sheetViews>
  <sheetFormatPr defaultRowHeight="14.4" x14ac:dyDescent="0.3"/>
  <cols>
    <col min="1" max="7" width="14" customWidth="1"/>
  </cols>
  <sheetData>
    <row r="1" spans="1:8" ht="21" x14ac:dyDescent="0.4">
      <c r="A1" s="38" t="s">
        <v>74</v>
      </c>
      <c r="B1" s="39"/>
      <c r="C1" s="39"/>
      <c r="D1" s="39"/>
      <c r="E1" s="39"/>
      <c r="F1" s="39"/>
      <c r="G1" s="39"/>
      <c r="H1" s="39"/>
    </row>
    <row r="2" spans="1:8" x14ac:dyDescent="0.3">
      <c r="A2" s="62" t="s">
        <v>75</v>
      </c>
      <c r="B2" s="39"/>
      <c r="C2" s="39"/>
      <c r="D2" s="39"/>
      <c r="E2" s="39"/>
      <c r="F2" s="39"/>
      <c r="G2" s="39"/>
      <c r="H2" s="39"/>
    </row>
    <row r="3" spans="1:8" x14ac:dyDescent="0.3">
      <c r="A3" s="61" t="s">
        <v>76</v>
      </c>
      <c r="B3" s="39"/>
      <c r="C3" s="39"/>
      <c r="D3" s="39"/>
      <c r="E3" s="39"/>
      <c r="F3" s="39"/>
      <c r="G3" s="39"/>
      <c r="H3" s="39"/>
    </row>
    <row r="5" spans="1:8" x14ac:dyDescent="0.3">
      <c r="A5" s="35" t="s">
        <v>77</v>
      </c>
    </row>
    <row r="6" spans="1:8" x14ac:dyDescent="0.3">
      <c r="A6" s="6" t="s">
        <v>5</v>
      </c>
      <c r="B6" s="6" t="s">
        <v>7</v>
      </c>
      <c r="C6" s="8" t="s">
        <v>9</v>
      </c>
      <c r="D6" s="8" t="s">
        <v>11</v>
      </c>
      <c r="E6" s="10" t="s">
        <v>13</v>
      </c>
      <c r="F6" s="10" t="s">
        <v>15</v>
      </c>
    </row>
    <row r="7" spans="1:8" x14ac:dyDescent="0.3">
      <c r="A7" s="34">
        <f>'Langkah 4-6'!B56</f>
        <v>0.16014655382398205</v>
      </c>
      <c r="B7" s="34">
        <f>'Langkah 4-6'!B57</f>
        <v>0.1860920040050304</v>
      </c>
      <c r="C7" s="34">
        <f>'Langkah 4-6'!B58</f>
        <v>0.1860920040050304</v>
      </c>
      <c r="D7" s="34">
        <f>'Langkah 4-6'!B59</f>
        <v>0.11756560437141736</v>
      </c>
      <c r="E7" s="34">
        <f>'Langkah 4-6'!B60</f>
        <v>0.16401182978950934</v>
      </c>
      <c r="F7" s="34">
        <f>'Langkah 4-6'!B61</f>
        <v>0.1860920040050304</v>
      </c>
    </row>
    <row r="9" spans="1:8" ht="15.6" x14ac:dyDescent="0.3">
      <c r="A9" s="1" t="s">
        <v>78</v>
      </c>
    </row>
    <row r="10" spans="1:8" x14ac:dyDescent="0.3">
      <c r="A10" s="2" t="s">
        <v>18</v>
      </c>
      <c r="B10" s="2" t="s">
        <v>19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</row>
    <row r="11" spans="1:8" ht="15.6" x14ac:dyDescent="0.3">
      <c r="A11" s="4">
        <v>1</v>
      </c>
      <c r="B11" s="3" t="str">
        <f>Input!B14</f>
        <v>David Kulian</v>
      </c>
      <c r="C11" s="13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>18.19101792877888</v>
      </c>
      <c r="D11" s="13">
        <f>IF('Rekap Nilai'!C5&lt;=5,'Rekap Nilai'!C5,'Rekap Nilai'!C5)*$A$7+IF('Rekap Nilai'!D5&lt;=5,'Rekap Nilai'!D5,'Rekap Nilai'!D5)*$B$7+IF('Rekap Nilai'!E5&lt;=5,'Rekap Nilai'!E5,'Rekap Nilai'!E5)*$C$7+IF('Rekap Nilai'!F5&lt;=5,'Rekap Nilai'!F5,'Rekap Nilai'!F5)*$D$7+IF('Rekap Nilai'!G5&lt;=5,'Rekap Nilai'!G5,'Rekap Nilai'!G5)*$E$7+IF('Rekap Nilai'!H5&lt;=5,'Rekap Nilai'!H5,'Rekap Nilai'!H5)*$F$7</f>
        <v>19.617534686605033</v>
      </c>
      <c r="E11" s="13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>21.376096352442676</v>
      </c>
      <c r="F11" s="36">
        <f t="shared" ref="F11:F20" si="0">(C11+D11+E11)/3</f>
        <v>19.728216322608862</v>
      </c>
      <c r="G11" s="37">
        <f t="shared" ref="G11:G20" si="1">IF(B11="","",RANK(F11,$F$11:$F$20,0))</f>
        <v>10</v>
      </c>
    </row>
    <row r="12" spans="1:8" ht="15.6" x14ac:dyDescent="0.3">
      <c r="A12" s="4">
        <v>2</v>
      </c>
      <c r="B12" s="3" t="str">
        <f>Input!B15</f>
        <v>Siti Aminah</v>
      </c>
      <c r="C12" s="13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>76.394226705878879</v>
      </c>
      <c r="D12" s="13">
        <f>IF('Rekap Nilai'!C6&lt;=5,'Rekap Nilai'!C6,'Rekap Nilai'!C6)*$A$7+IF('Rekap Nilai'!D6&lt;=5,'Rekap Nilai'!D6,'Rekap Nilai'!D6)*$B$7+IF('Rekap Nilai'!E6&lt;=5,'Rekap Nilai'!E6,'Rekap Nilai'!E6)*$C$7+IF('Rekap Nilai'!F6&lt;=5,'Rekap Nilai'!F6,'Rekap Nilai'!F6)*$D$7+IF('Rekap Nilai'!G6&lt;=5,'Rekap Nilai'!G6,'Rekap Nilai'!G6)*$E$7+IF('Rekap Nilai'!H6&lt;=5,'Rekap Nilai'!H6,'Rekap Nilai'!H6)*$F$7</f>
        <v>81.394226705878864</v>
      </c>
      <c r="E12" s="13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>86.394226705878879</v>
      </c>
      <c r="F12" s="36">
        <f t="shared" si="0"/>
        <v>81.394226705878879</v>
      </c>
      <c r="G12" s="37">
        <f t="shared" si="1"/>
        <v>9</v>
      </c>
    </row>
    <row r="13" spans="1:8" ht="15.6" x14ac:dyDescent="0.3">
      <c r="A13" s="4">
        <v>3</v>
      </c>
      <c r="B13" s="3" t="str">
        <f>Input!B16</f>
        <v>Budi Santoso</v>
      </c>
      <c r="C13" s="13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>83.437756344575149</v>
      </c>
      <c r="D13" s="13">
        <f>IF('Rekap Nilai'!C7&lt;=5,'Rekap Nilai'!C7,'Rekap Nilai'!C7)*$A$7+IF('Rekap Nilai'!D7&lt;=5,'Rekap Nilai'!D7,'Rekap Nilai'!D7)*$B$7+IF('Rekap Nilai'!E7&lt;=5,'Rekap Nilai'!E7,'Rekap Nilai'!E7)*$C$7+IF('Rekap Nilai'!F7&lt;=5,'Rekap Nilai'!F7,'Rekap Nilai'!F7)*$D$7+IF('Rekap Nilai'!G7&lt;=5,'Rekap Nilai'!G7,'Rekap Nilai'!G7)*$E$7+IF('Rekap Nilai'!H7&lt;=5,'Rekap Nilai'!H7,'Rekap Nilai'!H7)*$F$7</f>
        <v>88.437756344575149</v>
      </c>
      <c r="E13" s="13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>93.437756344575149</v>
      </c>
      <c r="F13" s="36">
        <f t="shared" si="0"/>
        <v>88.437756344575135</v>
      </c>
      <c r="G13" s="37">
        <f t="shared" si="1"/>
        <v>2</v>
      </c>
    </row>
    <row r="14" spans="1:8" ht="15.6" x14ac:dyDescent="0.3">
      <c r="A14" s="4">
        <v>4</v>
      </c>
      <c r="B14" s="3" t="str">
        <f>Input!B17</f>
        <v>Dewi Lestari</v>
      </c>
      <c r="C14" s="13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>78.679487528358536</v>
      </c>
      <c r="D14" s="13">
        <f>IF('Rekap Nilai'!C8&lt;=5,'Rekap Nilai'!C8,'Rekap Nilai'!C8)*$A$7+IF('Rekap Nilai'!D8&lt;=5,'Rekap Nilai'!D8,'Rekap Nilai'!D8)*$B$7+IF('Rekap Nilai'!E8&lt;=5,'Rekap Nilai'!E8,'Rekap Nilai'!E8)*$C$7+IF('Rekap Nilai'!F8&lt;=5,'Rekap Nilai'!F8,'Rekap Nilai'!F8)*$D$7+IF('Rekap Nilai'!G8&lt;=5,'Rekap Nilai'!G8,'Rekap Nilai'!G8)*$E$7+IF('Rekap Nilai'!H8&lt;=5,'Rekap Nilai'!H8,'Rekap Nilai'!H8)*$F$7</f>
        <v>83.679487528358536</v>
      </c>
      <c r="E14" s="13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>88.679487528358521</v>
      </c>
      <c r="F14" s="36">
        <f t="shared" si="0"/>
        <v>83.679487528358536</v>
      </c>
      <c r="G14" s="37">
        <f t="shared" si="1"/>
        <v>5</v>
      </c>
    </row>
    <row r="15" spans="1:8" ht="15.6" x14ac:dyDescent="0.3">
      <c r="A15" s="4">
        <v>5</v>
      </c>
      <c r="B15" s="3" t="str">
        <f>Input!B18</f>
        <v>Ahmad Fauzi</v>
      </c>
      <c r="C15" s="13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>82.553679534834956</v>
      </c>
      <c r="D15" s="13">
        <f>IF('Rekap Nilai'!C9&lt;=5,'Rekap Nilai'!C9,'Rekap Nilai'!C9)*$A$7+IF('Rekap Nilai'!D9&lt;=5,'Rekap Nilai'!D9,'Rekap Nilai'!D9)*$B$7+IF('Rekap Nilai'!E9&lt;=5,'Rekap Nilai'!E9,'Rekap Nilai'!E9)*$C$7+IF('Rekap Nilai'!F9&lt;=5,'Rekap Nilai'!F9,'Rekap Nilai'!F9)*$D$7+IF('Rekap Nilai'!G9&lt;=5,'Rekap Nilai'!G9,'Rekap Nilai'!G9)*$E$7+IF('Rekap Nilai'!H9&lt;=5,'Rekap Nilai'!H9,'Rekap Nilai'!H9)*$F$7</f>
        <v>87.55367953483497</v>
      </c>
      <c r="E15" s="13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>92.553679534834956</v>
      </c>
      <c r="F15" s="36">
        <f t="shared" si="0"/>
        <v>87.553679534834956</v>
      </c>
      <c r="G15" s="37">
        <f t="shared" si="1"/>
        <v>3</v>
      </c>
    </row>
    <row r="16" spans="1:8" ht="15.6" x14ac:dyDescent="0.3">
      <c r="A16" s="4">
        <v>6</v>
      </c>
      <c r="B16" s="3" t="str">
        <f>Input!B19</f>
        <v>Rina Wati</v>
      </c>
      <c r="C16" s="13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>76.478030445763409</v>
      </c>
      <c r="D16" s="13">
        <f>IF('Rekap Nilai'!C10&lt;=5,'Rekap Nilai'!C10,'Rekap Nilai'!C10)*$A$7+IF('Rekap Nilai'!D10&lt;=5,'Rekap Nilai'!D10,'Rekap Nilai'!D10)*$B$7+IF('Rekap Nilai'!E10&lt;=5,'Rekap Nilai'!E10,'Rekap Nilai'!E10)*$C$7+IF('Rekap Nilai'!F10&lt;=5,'Rekap Nilai'!F10,'Rekap Nilai'!F10)*$D$7+IF('Rekap Nilai'!G10&lt;=5,'Rekap Nilai'!G10,'Rekap Nilai'!G10)*$E$7+IF('Rekap Nilai'!H10&lt;=5,'Rekap Nilai'!H10,'Rekap Nilai'!H10)*$F$7</f>
        <v>81.478030445763423</v>
      </c>
      <c r="E16" s="13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>86.478030445763423</v>
      </c>
      <c r="F16" s="36">
        <f t="shared" si="0"/>
        <v>81.478030445763409</v>
      </c>
      <c r="G16" s="37">
        <f t="shared" si="1"/>
        <v>8</v>
      </c>
    </row>
    <row r="17" spans="1:7" ht="15.6" x14ac:dyDescent="0.3">
      <c r="A17" s="4">
        <v>7</v>
      </c>
      <c r="B17" s="3" t="str">
        <f>Input!B20</f>
        <v>Joko Susilo</v>
      </c>
      <c r="C17" s="13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>78.14724132932831</v>
      </c>
      <c r="D17" s="13">
        <f>IF('Rekap Nilai'!C11&lt;=5,'Rekap Nilai'!C11,'Rekap Nilai'!C11)*$A$7+IF('Rekap Nilai'!D11&lt;=5,'Rekap Nilai'!D11,'Rekap Nilai'!D11)*$B$7+IF('Rekap Nilai'!E11&lt;=5,'Rekap Nilai'!E11,'Rekap Nilai'!E11)*$C$7+IF('Rekap Nilai'!F11&lt;=5,'Rekap Nilai'!F11,'Rekap Nilai'!F11)*$D$7+IF('Rekap Nilai'!G11&lt;=5,'Rekap Nilai'!G11,'Rekap Nilai'!G11)*$E$7+IF('Rekap Nilai'!H11&lt;=5,'Rekap Nilai'!H11,'Rekap Nilai'!H11)*$F$7</f>
        <v>83.147241329328295</v>
      </c>
      <c r="E17" s="13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>88.147241329328295</v>
      </c>
      <c r="F17" s="36">
        <f t="shared" si="0"/>
        <v>83.147241329328295</v>
      </c>
      <c r="G17" s="37">
        <f t="shared" si="1"/>
        <v>6</v>
      </c>
    </row>
    <row r="18" spans="1:7" ht="15.6" x14ac:dyDescent="0.3">
      <c r="A18" s="4">
        <v>8</v>
      </c>
      <c r="B18" s="3" t="str">
        <f>Input!B21</f>
        <v>Maya Sari</v>
      </c>
      <c r="C18" s="13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>83.498295728330945</v>
      </c>
      <c r="D18" s="13">
        <f>IF('Rekap Nilai'!C12&lt;=5,'Rekap Nilai'!C12,'Rekap Nilai'!C12)*$A$7+IF('Rekap Nilai'!D12&lt;=5,'Rekap Nilai'!D12,'Rekap Nilai'!D12)*$B$7+IF('Rekap Nilai'!E12&lt;=5,'Rekap Nilai'!E12,'Rekap Nilai'!E12)*$C$7+IF('Rekap Nilai'!F12&lt;=5,'Rekap Nilai'!F12,'Rekap Nilai'!F12)*$D$7+IF('Rekap Nilai'!G12&lt;=5,'Rekap Nilai'!G12,'Rekap Nilai'!G12)*$E$7+IF('Rekap Nilai'!H12&lt;=5,'Rekap Nilai'!H12,'Rekap Nilai'!H12)*$F$7</f>
        <v>88.49829572833093</v>
      </c>
      <c r="E18" s="13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>93.498295728330945</v>
      </c>
      <c r="F18" s="36">
        <f t="shared" si="0"/>
        <v>88.498295728330945</v>
      </c>
      <c r="G18" s="37">
        <f t="shared" si="1"/>
        <v>1</v>
      </c>
    </row>
    <row r="19" spans="1:7" ht="15.6" x14ac:dyDescent="0.3">
      <c r="A19" s="4">
        <v>9</v>
      </c>
      <c r="B19" s="3" t="str">
        <f>Input!B22</f>
        <v>Andi Pratama</v>
      </c>
      <c r="C19" s="13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>77.686845710465988</v>
      </c>
      <c r="D19" s="13">
        <f>IF('Rekap Nilai'!C13&lt;=5,'Rekap Nilai'!C13,'Rekap Nilai'!C13)*$A$7+IF('Rekap Nilai'!D13&lt;=5,'Rekap Nilai'!D13,'Rekap Nilai'!D13)*$B$7+IF('Rekap Nilai'!E13&lt;=5,'Rekap Nilai'!E13,'Rekap Nilai'!E13)*$C$7+IF('Rekap Nilai'!F13&lt;=5,'Rekap Nilai'!F13,'Rekap Nilai'!F13)*$D$7+IF('Rekap Nilai'!G13&lt;=5,'Rekap Nilai'!G13,'Rekap Nilai'!G13)*$E$7+IF('Rekap Nilai'!H13&lt;=5,'Rekap Nilai'!H13,'Rekap Nilai'!H13)*$F$7</f>
        <v>82.686845710466002</v>
      </c>
      <c r="E19" s="13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>87.686845710465988</v>
      </c>
      <c r="F19" s="36">
        <f t="shared" si="0"/>
        <v>82.686845710466002</v>
      </c>
      <c r="G19" s="37">
        <f t="shared" si="1"/>
        <v>7</v>
      </c>
    </row>
    <row r="20" spans="1:7" ht="15.6" x14ac:dyDescent="0.3">
      <c r="A20" s="4">
        <v>10</v>
      </c>
      <c r="B20" s="3" t="str">
        <f>Input!B23</f>
        <v>Lina Marlina</v>
      </c>
      <c r="C20" s="13">
        <f>IF('Rekap Nilai'!C14&lt;=5,IF('Rekap Nilai'!C14&lt;=1,1,IF('Rekap Nilai'!C14&lt;=2,1,IF('Rekap Nilai'!C14&lt;=3,2,IF('Rekap Nilai'!C14&lt;=4,3,4)))),MAX(0,'Rekap Nilai'!C14-5))*$A$7+IF('Rekap Nilai'!D14&lt;=5,IF('Rekap Nilai'!D14&lt;=1,1,IF('Rekap Nilai'!D14&lt;=2,1,IF('Rekap Nilai'!D14&lt;=3,2,IF('Rekap Nilai'!D14&lt;=4,3,4)))),MAX(0,'Rekap Nilai'!D14-5))*$B$7+IF('Rekap Nilai'!E14&lt;=5,IF('Rekap Nilai'!E14&lt;=1,1,IF('Rekap Nilai'!E14&lt;=2,1,IF('Rekap Nilai'!E14&lt;=3,2,IF('Rekap Nilai'!E14&lt;=4,3,4)))),MAX(0,'Rekap Nilai'!E14-5))*$C$7+IF('Rekap Nilai'!F14&lt;=5,IF('Rekap Nilai'!F14&lt;=1,1,IF('Rekap Nilai'!F14&lt;=2,1,IF('Rekap Nilai'!F14&lt;=3,2,IF('Rekap Nilai'!F14&lt;=4,3,4)))),MAX(0,'Rekap Nilai'!F14-5))*$D$7+IF('Rekap Nilai'!G14&lt;=5,IF('Rekap Nilai'!G14&lt;=1,1,IF('Rekap Nilai'!G14&lt;=2,1,IF('Rekap Nilai'!G14&lt;=3,2,IF('Rekap Nilai'!G14&lt;=4,3,4)))),MAX(0,'Rekap Nilai'!G14-5))*$E$7+IF('Rekap Nilai'!H14&lt;=5,IF('Rekap Nilai'!H14&lt;=1,1,IF('Rekap Nilai'!H14&lt;=2,1,IF('Rekap Nilai'!H14&lt;=3,2,IF('Rekap Nilai'!H14&lt;=4,3,4)))),MAX(0,'Rekap Nilai'!H14-5))*$F$7</f>
        <v>78.698206045693041</v>
      </c>
      <c r="D20" s="13">
        <f>IF('Rekap Nilai'!C14&lt;=5,'Rekap Nilai'!C14,'Rekap Nilai'!C14)*$A$7+IF('Rekap Nilai'!D14&lt;=5,'Rekap Nilai'!D14,'Rekap Nilai'!D14)*$B$7+IF('Rekap Nilai'!E14&lt;=5,'Rekap Nilai'!E14,'Rekap Nilai'!E14)*$C$7+IF('Rekap Nilai'!F14&lt;=5,'Rekap Nilai'!F14,'Rekap Nilai'!F14)*$D$7+IF('Rekap Nilai'!G14&lt;=5,'Rekap Nilai'!G14,'Rekap Nilai'!G14)*$E$7+IF('Rekap Nilai'!H14&lt;=5,'Rekap Nilai'!H14,'Rekap Nilai'!H14)*$F$7</f>
        <v>83.698206045693055</v>
      </c>
      <c r="E20" s="13">
        <f>IF('Rekap Nilai'!C14&lt;=5,IF('Rekap Nilai'!C14&lt;=1,2,IF('Rekap Nilai'!C14&lt;=2,3,IF('Rekap Nilai'!C14&lt;=3,4,IF('Rekap Nilai'!C14&lt;=4,5,5)))),MIN(100,'Rekap Nilai'!C14+5))*$A$7+IF('Rekap Nilai'!D14&lt;=5,IF('Rekap Nilai'!D14&lt;=1,2,IF('Rekap Nilai'!D14&lt;=2,3,IF('Rekap Nilai'!D14&lt;=3,4,IF('Rekap Nilai'!D14&lt;=4,5,5)))),MIN(100,'Rekap Nilai'!D14+5))*$B$7+IF('Rekap Nilai'!E14&lt;=5,IF('Rekap Nilai'!E14&lt;=1,2,IF('Rekap Nilai'!E14&lt;=2,3,IF('Rekap Nilai'!E14&lt;=3,4,IF('Rekap Nilai'!E14&lt;=4,5,5)))),MIN(100,'Rekap Nilai'!E14+5))*$C$7+IF('Rekap Nilai'!F14&lt;=5,IF('Rekap Nilai'!F14&lt;=1,2,IF('Rekap Nilai'!F14&lt;=2,3,IF('Rekap Nilai'!F14&lt;=3,4,IF('Rekap Nilai'!F14&lt;=4,5,5)))),MIN(100,'Rekap Nilai'!F14+5))*$D$7+IF('Rekap Nilai'!G14&lt;=5,IF('Rekap Nilai'!G14&lt;=1,2,IF('Rekap Nilai'!G14&lt;=2,3,IF('Rekap Nilai'!G14&lt;=3,4,IF('Rekap Nilai'!G14&lt;=4,5,5)))),MIN(100,'Rekap Nilai'!G14+5))*$E$7+IF('Rekap Nilai'!H14&lt;=5,IF('Rekap Nilai'!H14&lt;=1,2,IF('Rekap Nilai'!H14&lt;=2,3,IF('Rekap Nilai'!H14&lt;=3,4,IF('Rekap Nilai'!H14&lt;=4,5,5)))),MIN(100,'Rekap Nilai'!H14+5))*$F$7</f>
        <v>88.698206045693041</v>
      </c>
      <c r="F20" s="36">
        <f t="shared" si="0"/>
        <v>83.698206045693041</v>
      </c>
      <c r="G20" s="37">
        <f t="shared" si="1"/>
        <v>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2026-02-19T14:10:38Z</dcterms:created>
  <dcterms:modified xsi:type="dcterms:W3CDTF">2026-02-20T13:39:44Z</dcterms:modified>
</cp:coreProperties>
</file>