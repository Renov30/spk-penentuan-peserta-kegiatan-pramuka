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AHP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FF0000"/>
      <sz val="10"/>
    </font>
    <font>
      <b val="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sz val="10"/>
    </font>
    <font>
      <i val="1"/>
      <color rgb="00666666"/>
      <sz val="9"/>
    </font>
    <font>
      <b val="1"/>
      <sz val="10"/>
    </font>
    <font>
      <color rgb="000000FF"/>
      <sz val="11"/>
    </font>
    <font>
      <b val="1"/>
      <color rgb="001F4E79"/>
      <sz val="11"/>
    </font>
    <font>
      <b val="1"/>
      <color rgb="00ED7D31"/>
      <sz val="14"/>
    </font>
    <font>
      <i val="1"/>
      <color rgb="00808080"/>
      <sz val="10"/>
    </font>
    <font>
      <b val="1"/>
      <sz val="14"/>
    </font>
    <font>
      <b val="1"/>
      <sz val="11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center" vertical="center" wrapText="1"/>
    </xf>
    <xf numFmtId="0" fontId="16" fillId="6" borderId="1" pivotButton="0" quotePrefix="0" xfId="0"/>
    <xf numFmtId="164" fontId="7" fillId="7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C21" authorId="0" shapeId="0">
      <text>
        <t>INPUT: Masukkan nilai 1-9</t>
      </text>
    </comment>
    <comment ref="D21" authorId="0" shapeId="0">
      <text>
        <t>INPUT: Masukkan nilai 1-9</t>
      </text>
    </comment>
    <comment ref="E21" authorId="0" shapeId="0">
      <text>
        <t>INPUT: Masukkan nilai 1-9</t>
      </text>
    </comment>
    <comment ref="F21" authorId="0" shapeId="0">
      <text>
        <t>INPUT: Masukkan nilai 1-9</t>
      </text>
    </comment>
    <comment ref="G21" authorId="0" shapeId="0">
      <text>
        <t>INPUT: Masukkan nilai 1-9</t>
      </text>
    </comment>
    <comment ref="D22" authorId="0" shapeId="0">
      <text>
        <t>INPUT: Masukkan nilai 1-9</t>
      </text>
    </comment>
    <comment ref="E22" authorId="0" shapeId="0">
      <text>
        <t>INPUT: Masukkan nilai 1-9</t>
      </text>
    </comment>
    <comment ref="F22" authorId="0" shapeId="0">
      <text>
        <t>INPUT: Masukkan nilai 1-9</t>
      </text>
    </comment>
    <comment ref="G22" authorId="0" shapeId="0">
      <text>
        <t>INPUT: Masukkan nilai 1-9</t>
      </text>
    </comment>
    <comment ref="E23" authorId="0" shapeId="0">
      <text>
        <t>INPUT: Masukkan nilai 1-9</t>
      </text>
    </comment>
    <comment ref="F23" authorId="0" shapeId="0">
      <text>
        <t>INPUT: Masukkan nilai 1-9</t>
      </text>
    </comment>
    <comment ref="G23" authorId="0" shapeId="0">
      <text>
        <t>INPUT: Masukkan nilai 1-9</t>
      </text>
    </comment>
    <comment ref="F24" authorId="0" shapeId="0">
      <text>
        <t>INPUT: Masukkan nilai 1-9</t>
      </text>
    </comment>
    <comment ref="G24" authorId="0" shapeId="0">
      <text>
        <t>INPUT: Masukkan nilai 1-9</t>
      </text>
    </comment>
    <comment ref="G25" authorId="0" shapeId="0">
      <text>
        <t>INPUT: Masukkan nilai 1-9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1" t="inlineStr">
        <is>
          <t>MODEL PERHITUNGAN FUZZY AHP - DENGAN RUMUS EXCEL</t>
        </is>
      </c>
    </row>
    <row r="2">
      <c r="A2" s="2" t="inlineStr">
        <is>
          <t>Sel berwarna KUNING adalah INPUT yang dapat diubah. Hasil akan otomatis terhitung.</t>
        </is>
      </c>
    </row>
    <row r="4">
      <c r="A4" t="inlineStr">
        <is>
          <t>Nama Peserta:</t>
        </is>
      </c>
      <c r="B4" s="3" t="inlineStr">
        <is>
          <t>David Kulian</t>
        </is>
      </c>
      <c r="D4" t="inlineStr">
        <is>
          <t>Jumlah Kriteria (n):</t>
        </is>
      </c>
      <c r="E4" s="4" t="n">
        <v>6</v>
      </c>
    </row>
    <row r="6">
      <c r="A6" s="5" t="inlineStr">
        <is>
          <t>TABEL REFERENSI SKALA FUZZY (TFN)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>Intensitas</t>
        </is>
      </c>
      <c r="B7" s="7" t="inlineStr">
        <is>
          <t>l</t>
        </is>
      </c>
      <c r="C7" s="7" t="inlineStr">
        <is>
          <t>m</t>
        </is>
      </c>
      <c r="D7" s="7" t="inlineStr">
        <is>
          <t>u</t>
        </is>
      </c>
      <c r="E7" s="7" t="inlineStr"/>
      <c r="F7" s="7" t="inlineStr">
        <is>
          <t>Intensitas</t>
        </is>
      </c>
      <c r="G7" s="7" t="inlineStr">
        <is>
          <t>1/l</t>
        </is>
      </c>
      <c r="H7" s="7" t="inlineStr">
        <is>
          <t>1/m</t>
        </is>
      </c>
      <c r="I7" s="7" t="inlineStr">
        <is>
          <t>1/u</t>
        </is>
      </c>
    </row>
    <row r="8">
      <c r="A8" s="8" t="n">
        <v>1</v>
      </c>
      <c r="B8" s="8" t="n">
        <v>1</v>
      </c>
      <c r="C8" s="8" t="n">
        <v>1</v>
      </c>
      <c r="D8" s="8" t="n">
        <v>1</v>
      </c>
      <c r="E8" s="8" t="n"/>
      <c r="F8" s="8" t="n">
        <v>1</v>
      </c>
      <c r="G8" s="8">
        <f>1/D8</f>
        <v/>
      </c>
      <c r="H8" s="8">
        <f>1/C8</f>
        <v/>
      </c>
      <c r="I8" s="8">
        <f>1/B8</f>
        <v/>
      </c>
    </row>
    <row r="9">
      <c r="A9" s="8" t="n">
        <v>2</v>
      </c>
      <c r="B9" s="8" t="n">
        <v>0.5</v>
      </c>
      <c r="C9" s="8" t="n">
        <v>1</v>
      </c>
      <c r="D9" s="8" t="n">
        <v>1.5</v>
      </c>
      <c r="E9" s="8" t="n"/>
      <c r="F9" s="8" t="n">
        <v>2</v>
      </c>
      <c r="G9" s="8">
        <f>1/D9</f>
        <v/>
      </c>
      <c r="H9" s="8">
        <f>1/C9</f>
        <v/>
      </c>
      <c r="I9" s="8">
        <f>1/B9</f>
        <v/>
      </c>
    </row>
    <row r="10">
      <c r="A10" s="8" t="n">
        <v>3</v>
      </c>
      <c r="B10" s="8" t="n">
        <v>1</v>
      </c>
      <c r="C10" s="8" t="n">
        <v>1.5</v>
      </c>
      <c r="D10" s="8" t="n">
        <v>2</v>
      </c>
      <c r="E10" s="8" t="n"/>
      <c r="F10" s="8" t="n">
        <v>3</v>
      </c>
      <c r="G10" s="8">
        <f>1/D10</f>
        <v/>
      </c>
      <c r="H10" s="8">
        <f>1/C10</f>
        <v/>
      </c>
      <c r="I10" s="8">
        <f>1/B10</f>
        <v/>
      </c>
    </row>
    <row r="11">
      <c r="A11" s="8" t="n">
        <v>4</v>
      </c>
      <c r="B11" s="8" t="n">
        <v>1.5</v>
      </c>
      <c r="C11" s="8" t="n">
        <v>2</v>
      </c>
      <c r="D11" s="8" t="n">
        <v>2.5</v>
      </c>
      <c r="E11" s="8" t="n"/>
      <c r="F11" s="8" t="n">
        <v>4</v>
      </c>
      <c r="G11" s="8">
        <f>1/D11</f>
        <v/>
      </c>
      <c r="H11" s="8">
        <f>1/C11</f>
        <v/>
      </c>
      <c r="I11" s="8">
        <f>1/B11</f>
        <v/>
      </c>
    </row>
    <row r="12">
      <c r="A12" s="8" t="n">
        <v>5</v>
      </c>
      <c r="B12" s="8" t="n">
        <v>2</v>
      </c>
      <c r="C12" s="8" t="n">
        <v>2.5</v>
      </c>
      <c r="D12" s="8" t="n">
        <v>3</v>
      </c>
      <c r="E12" s="8" t="n"/>
      <c r="F12" s="8" t="n">
        <v>5</v>
      </c>
      <c r="G12" s="8">
        <f>1/D12</f>
        <v/>
      </c>
      <c r="H12" s="8">
        <f>1/C12</f>
        <v/>
      </c>
      <c r="I12" s="8">
        <f>1/B12</f>
        <v/>
      </c>
    </row>
    <row r="13">
      <c r="A13" s="8" t="n">
        <v>6</v>
      </c>
      <c r="B13" s="8" t="n">
        <v>2.5</v>
      </c>
      <c r="C13" s="8" t="n">
        <v>3</v>
      </c>
      <c r="D13" s="8" t="n">
        <v>3.5</v>
      </c>
      <c r="E13" s="8" t="n"/>
      <c r="F13" s="8" t="n">
        <v>6</v>
      </c>
      <c r="G13" s="8">
        <f>1/D13</f>
        <v/>
      </c>
      <c r="H13" s="8">
        <f>1/C13</f>
        <v/>
      </c>
      <c r="I13" s="8">
        <f>1/B13</f>
        <v/>
      </c>
    </row>
    <row r="14">
      <c r="A14" s="8" t="n">
        <v>7</v>
      </c>
      <c r="B14" s="8" t="n">
        <v>3</v>
      </c>
      <c r="C14" s="8" t="n">
        <v>3.5</v>
      </c>
      <c r="D14" s="8" t="n">
        <v>4</v>
      </c>
      <c r="E14" s="8" t="n"/>
      <c r="F14" s="8" t="n">
        <v>7</v>
      </c>
      <c r="G14" s="8">
        <f>1/D14</f>
        <v/>
      </c>
      <c r="H14" s="8">
        <f>1/C14</f>
        <v/>
      </c>
      <c r="I14" s="8">
        <f>1/B14</f>
        <v/>
      </c>
    </row>
    <row r="15">
      <c r="A15" s="8" t="n">
        <v>8</v>
      </c>
      <c r="B15" s="8" t="n">
        <v>3.5</v>
      </c>
      <c r="C15" s="8" t="n">
        <v>4</v>
      </c>
      <c r="D15" s="8" t="n">
        <v>4.5</v>
      </c>
      <c r="E15" s="8" t="n"/>
      <c r="F15" s="8" t="n">
        <v>8</v>
      </c>
      <c r="G15" s="8">
        <f>1/D15</f>
        <v/>
      </c>
      <c r="H15" s="8">
        <f>1/C15</f>
        <v/>
      </c>
      <c r="I15" s="8">
        <f>1/B15</f>
        <v/>
      </c>
    </row>
    <row r="16">
      <c r="A16" s="8" t="n">
        <v>9</v>
      </c>
      <c r="B16" s="8" t="n">
        <v>4</v>
      </c>
      <c r="C16" s="8" t="n">
        <v>4.5</v>
      </c>
      <c r="D16" s="8" t="n">
        <v>4.5</v>
      </c>
      <c r="E16" s="8" t="n"/>
      <c r="F16" s="8" t="n">
        <v>9</v>
      </c>
      <c r="G16" s="8">
        <f>1/D16</f>
        <v/>
      </c>
      <c r="H16" s="8">
        <f>1/C16</f>
        <v/>
      </c>
      <c r="I16" s="8">
        <f>1/B16</f>
        <v/>
      </c>
    </row>
    <row r="18">
      <c r="A18" s="5" t="inlineStr">
        <is>
          <t>LANGKAH 1: MATRIKS PERBANDINGAN BERPASANGAN (CRISP) - INPUT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9" t="inlineStr">
        <is>
          <t>Masukkan nilai perbandingan (1-9). Nilai di bawah diagonal akan otomatis dihitung (resiprokal).</t>
        </is>
      </c>
    </row>
    <row r="20">
      <c r="A20" s="7" t="inlineStr">
        <is>
          <t>Kriteria</t>
        </is>
      </c>
      <c r="B20" s="7" t="inlineStr">
        <is>
          <t>Status Keaktifan</t>
        </is>
      </c>
      <c r="C20" s="7" t="inlineStr">
        <is>
          <t>Pencapaian SKU</t>
        </is>
      </c>
      <c r="D20" s="7" t="inlineStr">
        <is>
          <t>Pencapaian SPG</t>
        </is>
      </c>
      <c r="E20" s="7" t="inlineStr">
        <is>
          <t>Kesehatan Jasmani</t>
        </is>
      </c>
      <c r="F20" s="7" t="inlineStr">
        <is>
          <t>Tes Wawancara</t>
        </is>
      </c>
      <c r="G20" s="7" t="inlineStr">
        <is>
          <t>Tes Pilihan Ganda</t>
        </is>
      </c>
      <c r="H20" s="10" t="inlineStr">
        <is>
          <t>GM</t>
        </is>
      </c>
      <c r="I20" s="10" t="inlineStr">
        <is>
          <t>Eigenvector</t>
        </is>
      </c>
    </row>
    <row r="21">
      <c r="A21" s="11" t="inlineStr">
        <is>
          <t>Status Keaktifan</t>
        </is>
      </c>
      <c r="B21" s="8" t="n">
        <v>1</v>
      </c>
      <c r="C21" s="12" t="n">
        <v>1</v>
      </c>
      <c r="D21" s="12" t="n">
        <v>1</v>
      </c>
      <c r="E21" s="12" t="n">
        <v>1</v>
      </c>
      <c r="F21" s="12" t="n">
        <v>1</v>
      </c>
      <c r="G21" s="12" t="n">
        <v>1</v>
      </c>
      <c r="H21" s="13">
        <f>PRODUCT(B21:G21)^(1/6)</f>
        <v/>
      </c>
      <c r="I21" s="13">
        <f>H21/$H$27</f>
        <v/>
      </c>
    </row>
    <row r="22">
      <c r="A22" s="11" t="inlineStr">
        <is>
          <t>Pencapaian SKU</t>
        </is>
      </c>
      <c r="B22" s="13">
        <f>1/C21</f>
        <v/>
      </c>
      <c r="C22" s="8" t="n">
        <v>1</v>
      </c>
      <c r="D22" s="12" t="n">
        <v>1</v>
      </c>
      <c r="E22" s="12" t="n">
        <v>1</v>
      </c>
      <c r="F22" s="12" t="n">
        <v>1</v>
      </c>
      <c r="G22" s="12" t="n">
        <v>1</v>
      </c>
      <c r="H22" s="13">
        <f>PRODUCT(B22:G22)^(1/6)</f>
        <v/>
      </c>
      <c r="I22" s="13">
        <f>H22/$H$27</f>
        <v/>
      </c>
    </row>
    <row r="23">
      <c r="A23" s="11" t="inlineStr">
        <is>
          <t>Pencapaian SPG</t>
        </is>
      </c>
      <c r="B23" s="13">
        <f>1/D21</f>
        <v/>
      </c>
      <c r="C23" s="13">
        <f>1/D22</f>
        <v/>
      </c>
      <c r="D23" s="8" t="n">
        <v>1</v>
      </c>
      <c r="E23" s="12" t="n">
        <v>1</v>
      </c>
      <c r="F23" s="12" t="n">
        <v>1</v>
      </c>
      <c r="G23" s="12" t="n">
        <v>1</v>
      </c>
      <c r="H23" s="13">
        <f>PRODUCT(B23:G23)^(1/6)</f>
        <v/>
      </c>
      <c r="I23" s="13">
        <f>H23/$H$27</f>
        <v/>
      </c>
    </row>
    <row r="24">
      <c r="A24" s="11" t="inlineStr">
        <is>
          <t>Kesehatan Jasmani</t>
        </is>
      </c>
      <c r="B24" s="13">
        <f>1/E21</f>
        <v/>
      </c>
      <c r="C24" s="13">
        <f>1/E22</f>
        <v/>
      </c>
      <c r="D24" s="13">
        <f>1/E23</f>
        <v/>
      </c>
      <c r="E24" s="8" t="n">
        <v>1</v>
      </c>
      <c r="F24" s="12" t="n">
        <v>1</v>
      </c>
      <c r="G24" s="12" t="n">
        <v>1</v>
      </c>
      <c r="H24" s="13">
        <f>PRODUCT(B24:G24)^(1/6)</f>
        <v/>
      </c>
      <c r="I24" s="13">
        <f>H24/$H$27</f>
        <v/>
      </c>
    </row>
    <row r="25">
      <c r="A25" s="11" t="inlineStr">
        <is>
          <t>Tes Wawancara</t>
        </is>
      </c>
      <c r="B25" s="13">
        <f>1/F21</f>
        <v/>
      </c>
      <c r="C25" s="13">
        <f>1/F22</f>
        <v/>
      </c>
      <c r="D25" s="13">
        <f>1/F23</f>
        <v/>
      </c>
      <c r="E25" s="13">
        <f>1/F24</f>
        <v/>
      </c>
      <c r="F25" s="8" t="n">
        <v>1</v>
      </c>
      <c r="G25" s="12" t="n">
        <v>1</v>
      </c>
      <c r="H25" s="13">
        <f>PRODUCT(B25:G25)^(1/6)</f>
        <v/>
      </c>
      <c r="I25" s="13">
        <f>H25/$H$27</f>
        <v/>
      </c>
    </row>
    <row r="26">
      <c r="A26" s="11" t="inlineStr">
        <is>
          <t>Tes Pilihan Ganda</t>
        </is>
      </c>
      <c r="B26" s="13">
        <f>1/G21</f>
        <v/>
      </c>
      <c r="C26" s="13">
        <f>1/G22</f>
        <v/>
      </c>
      <c r="D26" s="13">
        <f>1/G23</f>
        <v/>
      </c>
      <c r="E26" s="13">
        <f>1/G24</f>
        <v/>
      </c>
      <c r="F26" s="13">
        <f>1/G25</f>
        <v/>
      </c>
      <c r="G26" s="8" t="n">
        <v>1</v>
      </c>
      <c r="H26" s="13">
        <f>PRODUCT(B26:G26)^(1/6)</f>
        <v/>
      </c>
      <c r="I26" s="13">
        <f>H26/$H$27</f>
        <v/>
      </c>
    </row>
    <row r="27">
      <c r="G27" s="14" t="inlineStr">
        <is>
          <t>Total GM:</t>
        </is>
      </c>
      <c r="H27" s="15">
        <f>SUM(H21:H26)</f>
        <v/>
      </c>
      <c r="I27" s="15">
        <f>SUM(I21:I26)</f>
        <v/>
      </c>
    </row>
    <row r="29">
      <c r="A29" s="5" t="inlineStr">
        <is>
          <t>LANGKAH 2 &amp; 3: PERHITUNGAN LAMBDA MAX &amp; UJI KONSISTENSI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16" t="inlineStr">
        <is>
          <t>Perhitungan A*w (Matriks x Eigenvector):</t>
        </is>
      </c>
    </row>
    <row r="31">
      <c r="A31" s="7" t="inlineStr">
        <is>
          <t>Kriteria</t>
        </is>
      </c>
      <c r="B31" s="7" t="inlineStr">
        <is>
          <t>A*w</t>
        </is>
      </c>
      <c r="C31" s="7" t="inlineStr">
        <is>
          <t>(A*w)/w</t>
        </is>
      </c>
    </row>
    <row r="32">
      <c r="A32" s="17" t="inlineStr">
        <is>
          <t>Status Keaktifan</t>
        </is>
      </c>
      <c r="B32" s="13">
        <f>SUMPRODUCT(B21:G21,$I$21:$I$26)</f>
        <v/>
      </c>
      <c r="C32" s="13">
        <f>B32/I21</f>
        <v/>
      </c>
    </row>
    <row r="33">
      <c r="A33" s="17" t="inlineStr">
        <is>
          <t>Pencapaian SKU</t>
        </is>
      </c>
      <c r="B33" s="13">
        <f>SUMPRODUCT(B22:G22,$I$21:$I$26)</f>
        <v/>
      </c>
      <c r="C33" s="13">
        <f>B33/I22</f>
        <v/>
      </c>
    </row>
    <row r="34">
      <c r="A34" s="17" t="inlineStr">
        <is>
          <t>Pencapaian SPG</t>
        </is>
      </c>
      <c r="B34" s="13">
        <f>SUMPRODUCT(B23:G23,$I$21:$I$26)</f>
        <v/>
      </c>
      <c r="C34" s="13">
        <f>B34/I23</f>
        <v/>
      </c>
    </row>
    <row r="35">
      <c r="A35" s="17" t="inlineStr">
        <is>
          <t>Kesehatan Jasmani</t>
        </is>
      </c>
      <c r="B35" s="13">
        <f>SUMPRODUCT(B24:G24,$I$21:$I$26)</f>
        <v/>
      </c>
      <c r="C35" s="13">
        <f>B35/I24</f>
        <v/>
      </c>
    </row>
    <row r="36">
      <c r="A36" s="17" t="inlineStr">
        <is>
          <t>Tes Wawancara</t>
        </is>
      </c>
      <c r="B36" s="13">
        <f>SUMPRODUCT(B25:G25,$I$21:$I$26)</f>
        <v/>
      </c>
      <c r="C36" s="13">
        <f>B36/I25</f>
        <v/>
      </c>
    </row>
    <row r="37">
      <c r="A37" s="17" t="inlineStr">
        <is>
          <t>Tes Pilihan Ganda</t>
        </is>
      </c>
      <c r="B37" s="13">
        <f>SUMPRODUCT(B26:G26,$I$21:$I$26)</f>
        <v/>
      </c>
      <c r="C37" s="13">
        <f>B37/I26</f>
        <v/>
      </c>
    </row>
    <row r="39">
      <c r="A39" s="16" t="inlineStr">
        <is>
          <t>Lambda Max (λmax):</t>
        </is>
      </c>
      <c r="B39" s="15">
        <f>AVERAGE(C32:C37)</f>
        <v/>
      </c>
      <c r="D39" s="18" t="inlineStr">
        <is>
          <t>Rumus: λmax = (1/n) * Σ(A*w/w)</t>
        </is>
      </c>
    </row>
    <row r="40">
      <c r="A40" s="16" t="inlineStr">
        <is>
          <t>Consistency Index (CI):</t>
        </is>
      </c>
      <c r="B40" s="13">
        <f>($B$39-6)/(6-1)</f>
        <v/>
      </c>
      <c r="D40" s="18" t="inlineStr">
        <is>
          <t>Rumus: CI = (λmax - n) / (n - 1)</t>
        </is>
      </c>
    </row>
    <row r="41">
      <c r="A41" s="16" t="inlineStr">
        <is>
          <t>Random Index (RI):</t>
        </is>
      </c>
      <c r="B41" s="8" t="n">
        <v>1.24</v>
      </c>
      <c r="D41" s="18" t="inlineStr">
        <is>
          <t>Untuk n=6, RI = 1.24</t>
        </is>
      </c>
    </row>
    <row r="42">
      <c r="A42" s="16" t="inlineStr">
        <is>
          <t>Consistency Ratio (CR):</t>
        </is>
      </c>
      <c r="B42" s="15">
        <f>IF($B$41=0,0,$B$40/$B$41)</f>
        <v/>
      </c>
      <c r="D42" s="18" t="inlineStr">
        <is>
          <t>Rumus: CR = CI / RI</t>
        </is>
      </c>
    </row>
    <row r="43">
      <c r="A43" s="16" t="inlineStr">
        <is>
          <t>Status Konsistensi:</t>
        </is>
      </c>
      <c r="B43" s="8">
        <f>IF($B$42&lt;=0.1,"KONSISTEN (CR &lt;= 0.1)","TIDAK KONSISTEN (CR &gt; 0.1)")</f>
        <v/>
      </c>
      <c r="C43" s="19" t="n"/>
      <c r="D43" s="20" t="n"/>
    </row>
    <row r="45">
      <c r="A45" s="5" t="inlineStr">
        <is>
          <t>LANGKAH 4: FUZZIFIKASI MATRIKS PERBANDINGAN (TFN)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9" t="inlineStr">
        <is>
          <t>Nilai crisp dikonversi ke Triangular Fuzzy Number (l, m, u) menggunakan tabel referensi di atas</t>
        </is>
      </c>
    </row>
    <row r="47">
      <c r="A47" s="7" t="inlineStr">
        <is>
          <t>Kriteria</t>
        </is>
      </c>
      <c r="B47" s="7" t="inlineStr">
        <is>
          <t>Status Kea</t>
        </is>
      </c>
      <c r="E47" s="7" t="inlineStr">
        <is>
          <t>Pencapaian</t>
        </is>
      </c>
      <c r="H47" s="7" t="inlineStr">
        <is>
          <t>Pencapaian</t>
        </is>
      </c>
      <c r="K47" s="7" t="inlineStr">
        <is>
          <t xml:space="preserve">Kesehatan </t>
        </is>
      </c>
      <c r="N47" s="7" t="inlineStr">
        <is>
          <t>Tes Wawanc</t>
        </is>
      </c>
      <c r="Q47" s="7" t="inlineStr">
        <is>
          <t>Tes Piliha</t>
        </is>
      </c>
    </row>
    <row r="48">
      <c r="A48" s="21" t="inlineStr"/>
      <c r="B48" s="21" t="inlineStr">
        <is>
          <t>l</t>
        </is>
      </c>
      <c r="C48" s="21" t="inlineStr">
        <is>
          <t>m</t>
        </is>
      </c>
      <c r="D48" s="21" t="inlineStr">
        <is>
          <t>u</t>
        </is>
      </c>
      <c r="E48" s="21" t="inlineStr">
        <is>
          <t>l</t>
        </is>
      </c>
      <c r="F48" s="21" t="inlineStr">
        <is>
          <t>m</t>
        </is>
      </c>
      <c r="G48" s="21" t="inlineStr">
        <is>
          <t>u</t>
        </is>
      </c>
      <c r="H48" s="21" t="inlineStr">
        <is>
          <t>l</t>
        </is>
      </c>
      <c r="I48" s="21" t="inlineStr">
        <is>
          <t>m</t>
        </is>
      </c>
      <c r="J48" s="21" t="inlineStr">
        <is>
          <t>u</t>
        </is>
      </c>
      <c r="K48" s="21" t="inlineStr">
        <is>
          <t>l</t>
        </is>
      </c>
      <c r="L48" s="21" t="inlineStr">
        <is>
          <t>m</t>
        </is>
      </c>
      <c r="M48" s="21" t="inlineStr">
        <is>
          <t>u</t>
        </is>
      </c>
      <c r="N48" s="21" t="inlineStr">
        <is>
          <t>l</t>
        </is>
      </c>
      <c r="O48" s="21" t="inlineStr">
        <is>
          <t>m</t>
        </is>
      </c>
      <c r="P48" s="21" t="inlineStr">
        <is>
          <t>u</t>
        </is>
      </c>
      <c r="Q48" s="21" t="inlineStr">
        <is>
          <t>l</t>
        </is>
      </c>
      <c r="R48" s="21" t="inlineStr">
        <is>
          <t>m</t>
        </is>
      </c>
      <c r="S48" s="21" t="inlineStr">
        <is>
          <t>u</t>
        </is>
      </c>
    </row>
    <row r="49">
      <c r="A49" s="22" t="inlineStr">
        <is>
          <t>Status Keaktifan</t>
        </is>
      </c>
      <c r="B49" s="8">
        <f>INDEX($B$8:$B$16,MATCH(ROUND(ABS(B21),0),$A$8:$A$16,0))</f>
        <v/>
      </c>
      <c r="C49" s="8">
        <f>INDEX($C$8:$C$16,MATCH(ROUND(ABS(B21),0),$A$8:$A$16,0))</f>
        <v/>
      </c>
      <c r="D49" s="8">
        <f>INDEX($D$8:$D$16,MATCH(ROUND(ABS(B21),0),$A$8:$A$16,0))</f>
        <v/>
      </c>
      <c r="E49" s="8">
        <f>INDEX($B$8:$B$16,MATCH(ROUND(ABS(C21),0),$A$8:$A$16,0))</f>
        <v/>
      </c>
      <c r="F49" s="8">
        <f>INDEX($C$8:$C$16,MATCH(ROUND(ABS(C21),0),$A$8:$A$16,0))</f>
        <v/>
      </c>
      <c r="G49" s="8">
        <f>INDEX($D$8:$D$16,MATCH(ROUND(ABS(C21),0),$A$8:$A$16,0))</f>
        <v/>
      </c>
      <c r="H49" s="8">
        <f>INDEX($B$8:$B$16,MATCH(ROUND(ABS(D21),0),$A$8:$A$16,0))</f>
        <v/>
      </c>
      <c r="I49" s="8">
        <f>INDEX($C$8:$C$16,MATCH(ROUND(ABS(D21),0),$A$8:$A$16,0))</f>
        <v/>
      </c>
      <c r="J49" s="8">
        <f>INDEX($D$8:$D$16,MATCH(ROUND(ABS(D21),0),$A$8:$A$16,0))</f>
        <v/>
      </c>
      <c r="K49" s="8">
        <f>INDEX($B$8:$B$16,MATCH(ROUND(ABS(E21),0),$A$8:$A$16,0))</f>
        <v/>
      </c>
      <c r="L49" s="8">
        <f>INDEX($C$8:$C$16,MATCH(ROUND(ABS(E21),0),$A$8:$A$16,0))</f>
        <v/>
      </c>
      <c r="M49" s="8">
        <f>INDEX($D$8:$D$16,MATCH(ROUND(ABS(E21),0),$A$8:$A$16,0))</f>
        <v/>
      </c>
      <c r="N49" s="8">
        <f>INDEX($B$8:$B$16,MATCH(ROUND(ABS(F21),0),$A$8:$A$16,0))</f>
        <v/>
      </c>
      <c r="O49" s="8">
        <f>INDEX($C$8:$C$16,MATCH(ROUND(ABS(F21),0),$A$8:$A$16,0))</f>
        <v/>
      </c>
      <c r="P49" s="8">
        <f>INDEX($D$8:$D$16,MATCH(ROUND(ABS(F21),0),$A$8:$A$16,0))</f>
        <v/>
      </c>
      <c r="Q49" s="8">
        <f>INDEX($B$8:$B$16,MATCH(ROUND(ABS(G21),0),$A$8:$A$16,0))</f>
        <v/>
      </c>
      <c r="R49" s="8">
        <f>INDEX($C$8:$C$16,MATCH(ROUND(ABS(G21),0),$A$8:$A$16,0))</f>
        <v/>
      </c>
      <c r="S49" s="8">
        <f>INDEX($D$8:$D$16,MATCH(ROUND(ABS(G21),0),$A$8:$A$16,0))</f>
        <v/>
      </c>
    </row>
    <row r="50">
      <c r="A50" s="22" t="inlineStr">
        <is>
          <t>Pencapaian SKU</t>
        </is>
      </c>
      <c r="B50" s="13">
        <f>1/INDEX($D$8:$D$16,MATCH(ROUND(ABS(C21),0),$A$8:$A$16,0))</f>
        <v/>
      </c>
      <c r="C50" s="13">
        <f>1/INDEX($C$8:$C$16,MATCH(ROUND(ABS(C21),0),$A$8:$A$16,0))</f>
        <v/>
      </c>
      <c r="D50" s="13">
        <f>1/INDEX($B$8:$B$16,MATCH(ROUND(ABS(C21),0),$A$8:$A$16,0))</f>
        <v/>
      </c>
      <c r="E50" s="8">
        <f>INDEX($B$8:$B$16,MATCH(ROUND(ABS(C22),0),$A$8:$A$16,0))</f>
        <v/>
      </c>
      <c r="F50" s="8">
        <f>INDEX($C$8:$C$16,MATCH(ROUND(ABS(C22),0),$A$8:$A$16,0))</f>
        <v/>
      </c>
      <c r="G50" s="8">
        <f>INDEX($D$8:$D$16,MATCH(ROUND(ABS(C22),0),$A$8:$A$16,0))</f>
        <v/>
      </c>
      <c r="H50" s="8">
        <f>INDEX($B$8:$B$16,MATCH(ROUND(ABS(D22),0),$A$8:$A$16,0))</f>
        <v/>
      </c>
      <c r="I50" s="8">
        <f>INDEX($C$8:$C$16,MATCH(ROUND(ABS(D22),0),$A$8:$A$16,0))</f>
        <v/>
      </c>
      <c r="J50" s="8">
        <f>INDEX($D$8:$D$16,MATCH(ROUND(ABS(D22),0),$A$8:$A$16,0))</f>
        <v/>
      </c>
      <c r="K50" s="8">
        <f>INDEX($B$8:$B$16,MATCH(ROUND(ABS(E22),0),$A$8:$A$16,0))</f>
        <v/>
      </c>
      <c r="L50" s="8">
        <f>INDEX($C$8:$C$16,MATCH(ROUND(ABS(E22),0),$A$8:$A$16,0))</f>
        <v/>
      </c>
      <c r="M50" s="8">
        <f>INDEX($D$8:$D$16,MATCH(ROUND(ABS(E22),0),$A$8:$A$16,0))</f>
        <v/>
      </c>
      <c r="N50" s="8">
        <f>INDEX($B$8:$B$16,MATCH(ROUND(ABS(F22),0),$A$8:$A$16,0))</f>
        <v/>
      </c>
      <c r="O50" s="8">
        <f>INDEX($C$8:$C$16,MATCH(ROUND(ABS(F22),0),$A$8:$A$16,0))</f>
        <v/>
      </c>
      <c r="P50" s="8">
        <f>INDEX($D$8:$D$16,MATCH(ROUND(ABS(F22),0),$A$8:$A$16,0))</f>
        <v/>
      </c>
      <c r="Q50" s="8">
        <f>INDEX($B$8:$B$16,MATCH(ROUND(ABS(G22),0),$A$8:$A$16,0))</f>
        <v/>
      </c>
      <c r="R50" s="8">
        <f>INDEX($C$8:$C$16,MATCH(ROUND(ABS(G22),0),$A$8:$A$16,0))</f>
        <v/>
      </c>
      <c r="S50" s="8">
        <f>INDEX($D$8:$D$16,MATCH(ROUND(ABS(G22),0),$A$8:$A$16,0))</f>
        <v/>
      </c>
    </row>
    <row r="51">
      <c r="A51" s="22" t="inlineStr">
        <is>
          <t>Pencapaian SPG</t>
        </is>
      </c>
      <c r="B51" s="13">
        <f>1/INDEX($D$8:$D$16,MATCH(ROUND(ABS(D21),0),$A$8:$A$16,0))</f>
        <v/>
      </c>
      <c r="C51" s="13">
        <f>1/INDEX($C$8:$C$16,MATCH(ROUND(ABS(D21),0),$A$8:$A$16,0))</f>
        <v/>
      </c>
      <c r="D51" s="13">
        <f>1/INDEX($B$8:$B$16,MATCH(ROUND(ABS(D21),0),$A$8:$A$16,0))</f>
        <v/>
      </c>
      <c r="E51" s="13">
        <f>1/INDEX($D$8:$D$16,MATCH(ROUND(ABS(D22),0),$A$8:$A$16,0))</f>
        <v/>
      </c>
      <c r="F51" s="13">
        <f>1/INDEX($C$8:$C$16,MATCH(ROUND(ABS(D22),0),$A$8:$A$16,0))</f>
        <v/>
      </c>
      <c r="G51" s="13">
        <f>1/INDEX($B$8:$B$16,MATCH(ROUND(ABS(D22),0),$A$8:$A$16,0))</f>
        <v/>
      </c>
      <c r="H51" s="8">
        <f>INDEX($B$8:$B$16,MATCH(ROUND(ABS(D23),0),$A$8:$A$16,0))</f>
        <v/>
      </c>
      <c r="I51" s="8">
        <f>INDEX($C$8:$C$16,MATCH(ROUND(ABS(D23),0),$A$8:$A$16,0))</f>
        <v/>
      </c>
      <c r="J51" s="8">
        <f>INDEX($D$8:$D$16,MATCH(ROUND(ABS(D23),0),$A$8:$A$16,0))</f>
        <v/>
      </c>
      <c r="K51" s="8">
        <f>INDEX($B$8:$B$16,MATCH(ROUND(ABS(E23),0),$A$8:$A$16,0))</f>
        <v/>
      </c>
      <c r="L51" s="8">
        <f>INDEX($C$8:$C$16,MATCH(ROUND(ABS(E23),0),$A$8:$A$16,0))</f>
        <v/>
      </c>
      <c r="M51" s="8">
        <f>INDEX($D$8:$D$16,MATCH(ROUND(ABS(E23),0),$A$8:$A$16,0))</f>
        <v/>
      </c>
      <c r="N51" s="8">
        <f>INDEX($B$8:$B$16,MATCH(ROUND(ABS(F23),0),$A$8:$A$16,0))</f>
        <v/>
      </c>
      <c r="O51" s="8">
        <f>INDEX($C$8:$C$16,MATCH(ROUND(ABS(F23),0),$A$8:$A$16,0))</f>
        <v/>
      </c>
      <c r="P51" s="8">
        <f>INDEX($D$8:$D$16,MATCH(ROUND(ABS(F23),0),$A$8:$A$16,0))</f>
        <v/>
      </c>
      <c r="Q51" s="8">
        <f>INDEX($B$8:$B$16,MATCH(ROUND(ABS(G23),0),$A$8:$A$16,0))</f>
        <v/>
      </c>
      <c r="R51" s="8">
        <f>INDEX($C$8:$C$16,MATCH(ROUND(ABS(G23),0),$A$8:$A$16,0))</f>
        <v/>
      </c>
      <c r="S51" s="8">
        <f>INDEX($D$8:$D$16,MATCH(ROUND(ABS(G23),0),$A$8:$A$16,0))</f>
        <v/>
      </c>
    </row>
    <row r="52">
      <c r="A52" s="22" t="inlineStr">
        <is>
          <t>Kesehatan Jasmani</t>
        </is>
      </c>
      <c r="B52" s="13">
        <f>1/INDEX($D$8:$D$16,MATCH(ROUND(ABS(E21),0),$A$8:$A$16,0))</f>
        <v/>
      </c>
      <c r="C52" s="13">
        <f>1/INDEX($C$8:$C$16,MATCH(ROUND(ABS(E21),0),$A$8:$A$16,0))</f>
        <v/>
      </c>
      <c r="D52" s="13">
        <f>1/INDEX($B$8:$B$16,MATCH(ROUND(ABS(E21),0),$A$8:$A$16,0))</f>
        <v/>
      </c>
      <c r="E52" s="13">
        <f>1/INDEX($D$8:$D$16,MATCH(ROUND(ABS(E22),0),$A$8:$A$16,0))</f>
        <v/>
      </c>
      <c r="F52" s="13">
        <f>1/INDEX($C$8:$C$16,MATCH(ROUND(ABS(E22),0),$A$8:$A$16,0))</f>
        <v/>
      </c>
      <c r="G52" s="13">
        <f>1/INDEX($B$8:$B$16,MATCH(ROUND(ABS(E22),0),$A$8:$A$16,0))</f>
        <v/>
      </c>
      <c r="H52" s="13">
        <f>1/INDEX($D$8:$D$16,MATCH(ROUND(ABS(E23),0),$A$8:$A$16,0))</f>
        <v/>
      </c>
      <c r="I52" s="13">
        <f>1/INDEX($C$8:$C$16,MATCH(ROUND(ABS(E23),0),$A$8:$A$16,0))</f>
        <v/>
      </c>
      <c r="J52" s="13">
        <f>1/INDEX($B$8:$B$16,MATCH(ROUND(ABS(E23),0),$A$8:$A$16,0))</f>
        <v/>
      </c>
      <c r="K52" s="8">
        <f>INDEX($B$8:$B$16,MATCH(ROUND(ABS(E24),0),$A$8:$A$16,0))</f>
        <v/>
      </c>
      <c r="L52" s="8">
        <f>INDEX($C$8:$C$16,MATCH(ROUND(ABS(E24),0),$A$8:$A$16,0))</f>
        <v/>
      </c>
      <c r="M52" s="8">
        <f>INDEX($D$8:$D$16,MATCH(ROUND(ABS(E24),0),$A$8:$A$16,0))</f>
        <v/>
      </c>
      <c r="N52" s="8">
        <f>INDEX($B$8:$B$16,MATCH(ROUND(ABS(F24),0),$A$8:$A$16,0))</f>
        <v/>
      </c>
      <c r="O52" s="8">
        <f>INDEX($C$8:$C$16,MATCH(ROUND(ABS(F24),0),$A$8:$A$16,0))</f>
        <v/>
      </c>
      <c r="P52" s="8">
        <f>INDEX($D$8:$D$16,MATCH(ROUND(ABS(F24),0),$A$8:$A$16,0))</f>
        <v/>
      </c>
      <c r="Q52" s="8">
        <f>INDEX($B$8:$B$16,MATCH(ROUND(ABS(G24),0),$A$8:$A$16,0))</f>
        <v/>
      </c>
      <c r="R52" s="8">
        <f>INDEX($C$8:$C$16,MATCH(ROUND(ABS(G24),0),$A$8:$A$16,0))</f>
        <v/>
      </c>
      <c r="S52" s="8">
        <f>INDEX($D$8:$D$16,MATCH(ROUND(ABS(G24),0),$A$8:$A$16,0))</f>
        <v/>
      </c>
    </row>
    <row r="53">
      <c r="A53" s="22" t="inlineStr">
        <is>
          <t>Tes Wawancara</t>
        </is>
      </c>
      <c r="B53" s="13">
        <f>1/INDEX($D$8:$D$16,MATCH(ROUND(ABS(F21),0),$A$8:$A$16,0))</f>
        <v/>
      </c>
      <c r="C53" s="13">
        <f>1/INDEX($C$8:$C$16,MATCH(ROUND(ABS(F21),0),$A$8:$A$16,0))</f>
        <v/>
      </c>
      <c r="D53" s="13">
        <f>1/INDEX($B$8:$B$16,MATCH(ROUND(ABS(F21),0),$A$8:$A$16,0))</f>
        <v/>
      </c>
      <c r="E53" s="13">
        <f>1/INDEX($D$8:$D$16,MATCH(ROUND(ABS(F22),0),$A$8:$A$16,0))</f>
        <v/>
      </c>
      <c r="F53" s="13">
        <f>1/INDEX($C$8:$C$16,MATCH(ROUND(ABS(F22),0),$A$8:$A$16,0))</f>
        <v/>
      </c>
      <c r="G53" s="13">
        <f>1/INDEX($B$8:$B$16,MATCH(ROUND(ABS(F22),0),$A$8:$A$16,0))</f>
        <v/>
      </c>
      <c r="H53" s="13">
        <f>1/INDEX($D$8:$D$16,MATCH(ROUND(ABS(F23),0),$A$8:$A$16,0))</f>
        <v/>
      </c>
      <c r="I53" s="13">
        <f>1/INDEX($C$8:$C$16,MATCH(ROUND(ABS(F23),0),$A$8:$A$16,0))</f>
        <v/>
      </c>
      <c r="J53" s="13">
        <f>1/INDEX($B$8:$B$16,MATCH(ROUND(ABS(F23),0),$A$8:$A$16,0))</f>
        <v/>
      </c>
      <c r="K53" s="13">
        <f>1/INDEX($D$8:$D$16,MATCH(ROUND(ABS(F24),0),$A$8:$A$16,0))</f>
        <v/>
      </c>
      <c r="L53" s="13">
        <f>1/INDEX($C$8:$C$16,MATCH(ROUND(ABS(F24),0),$A$8:$A$16,0))</f>
        <v/>
      </c>
      <c r="M53" s="13">
        <f>1/INDEX($B$8:$B$16,MATCH(ROUND(ABS(F24),0),$A$8:$A$16,0))</f>
        <v/>
      </c>
      <c r="N53" s="8">
        <f>INDEX($B$8:$B$16,MATCH(ROUND(ABS(F25),0),$A$8:$A$16,0))</f>
        <v/>
      </c>
      <c r="O53" s="8">
        <f>INDEX($C$8:$C$16,MATCH(ROUND(ABS(F25),0),$A$8:$A$16,0))</f>
        <v/>
      </c>
      <c r="P53" s="8">
        <f>INDEX($D$8:$D$16,MATCH(ROUND(ABS(F25),0),$A$8:$A$16,0))</f>
        <v/>
      </c>
      <c r="Q53" s="8">
        <f>INDEX($B$8:$B$16,MATCH(ROUND(ABS(G25),0),$A$8:$A$16,0))</f>
        <v/>
      </c>
      <c r="R53" s="8">
        <f>INDEX($C$8:$C$16,MATCH(ROUND(ABS(G25),0),$A$8:$A$16,0))</f>
        <v/>
      </c>
      <c r="S53" s="8">
        <f>INDEX($D$8:$D$16,MATCH(ROUND(ABS(G25),0),$A$8:$A$16,0))</f>
        <v/>
      </c>
    </row>
    <row r="54">
      <c r="A54" s="22" t="inlineStr">
        <is>
          <t>Tes Pilihan Ganda</t>
        </is>
      </c>
      <c r="B54" s="13">
        <f>1/INDEX($D$8:$D$16,MATCH(ROUND(ABS(G21),0),$A$8:$A$16,0))</f>
        <v/>
      </c>
      <c r="C54" s="13">
        <f>1/INDEX($C$8:$C$16,MATCH(ROUND(ABS(G21),0),$A$8:$A$16,0))</f>
        <v/>
      </c>
      <c r="D54" s="13">
        <f>1/INDEX($B$8:$B$16,MATCH(ROUND(ABS(G21),0),$A$8:$A$16,0))</f>
        <v/>
      </c>
      <c r="E54" s="13">
        <f>1/INDEX($D$8:$D$16,MATCH(ROUND(ABS(G22),0),$A$8:$A$16,0))</f>
        <v/>
      </c>
      <c r="F54" s="13">
        <f>1/INDEX($C$8:$C$16,MATCH(ROUND(ABS(G22),0),$A$8:$A$16,0))</f>
        <v/>
      </c>
      <c r="G54" s="13">
        <f>1/INDEX($B$8:$B$16,MATCH(ROUND(ABS(G22),0),$A$8:$A$16,0))</f>
        <v/>
      </c>
      <c r="H54" s="13">
        <f>1/INDEX($D$8:$D$16,MATCH(ROUND(ABS(G23),0),$A$8:$A$16,0))</f>
        <v/>
      </c>
      <c r="I54" s="13">
        <f>1/INDEX($C$8:$C$16,MATCH(ROUND(ABS(G23),0),$A$8:$A$16,0))</f>
        <v/>
      </c>
      <c r="J54" s="13">
        <f>1/INDEX($B$8:$B$16,MATCH(ROUND(ABS(G23),0),$A$8:$A$16,0))</f>
        <v/>
      </c>
      <c r="K54" s="13">
        <f>1/INDEX($D$8:$D$16,MATCH(ROUND(ABS(G24),0),$A$8:$A$16,0))</f>
        <v/>
      </c>
      <c r="L54" s="13">
        <f>1/INDEX($C$8:$C$16,MATCH(ROUND(ABS(G24),0),$A$8:$A$16,0))</f>
        <v/>
      </c>
      <c r="M54" s="13">
        <f>1/INDEX($B$8:$B$16,MATCH(ROUND(ABS(G24),0),$A$8:$A$16,0))</f>
        <v/>
      </c>
      <c r="N54" s="13">
        <f>1/INDEX($D$8:$D$16,MATCH(ROUND(ABS(G25),0),$A$8:$A$16,0))</f>
        <v/>
      </c>
      <c r="O54" s="13">
        <f>1/INDEX($C$8:$C$16,MATCH(ROUND(ABS(G25),0),$A$8:$A$16,0))</f>
        <v/>
      </c>
      <c r="P54" s="13">
        <f>1/INDEX($B$8:$B$16,MATCH(ROUND(ABS(G25),0),$A$8:$A$16,0))</f>
        <v/>
      </c>
      <c r="Q54" s="8">
        <f>INDEX($B$8:$B$16,MATCH(ROUND(ABS(G26),0),$A$8:$A$16,0))</f>
        <v/>
      </c>
      <c r="R54" s="8">
        <f>INDEX($C$8:$C$16,MATCH(ROUND(ABS(G26),0),$A$8:$A$16,0))</f>
        <v/>
      </c>
      <c r="S54" s="8">
        <f>INDEX($D$8:$D$16,MATCH(ROUND(ABS(G26),0),$A$8:$A$16,0))</f>
        <v/>
      </c>
    </row>
    <row r="56">
      <c r="A56" s="5" t="inlineStr">
        <is>
          <t>LANGKAH 5: PERHITUNGAN FUZZY SYNTHETIC EXTENT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9" t="inlineStr">
        <is>
          <t>Si = (Σl, Σm, Σu) untuk setiap baris, lalu dinormalisasi</t>
        </is>
      </c>
    </row>
    <row r="58">
      <c r="A58" s="7" t="inlineStr">
        <is>
          <t>Kriteria</t>
        </is>
      </c>
      <c r="B58" s="7" t="inlineStr">
        <is>
          <t>Σl</t>
        </is>
      </c>
      <c r="C58" s="7" t="inlineStr">
        <is>
          <t>Σm</t>
        </is>
      </c>
      <c r="D58" s="7" t="inlineStr">
        <is>
          <t>Σu</t>
        </is>
      </c>
    </row>
    <row r="59">
      <c r="A59" s="17" t="inlineStr">
        <is>
          <t>Status Keaktifan</t>
        </is>
      </c>
      <c r="B59" s="13">
        <f>B49+E49+H49+K49+N49+Q49</f>
        <v/>
      </c>
      <c r="C59" s="13">
        <f>C49+F49+I49+L49+O49+R49</f>
        <v/>
      </c>
      <c r="D59" s="13">
        <f>D49+G49+J49+M49+P49+S49</f>
        <v/>
      </c>
    </row>
    <row r="60">
      <c r="A60" s="17" t="inlineStr">
        <is>
          <t>Pencapaian SKU</t>
        </is>
      </c>
      <c r="B60" s="13">
        <f>B50+E50+H50+K50+N50+Q50</f>
        <v/>
      </c>
      <c r="C60" s="13">
        <f>C50+F50+I50+L50+O50+R50</f>
        <v/>
      </c>
      <c r="D60" s="13">
        <f>D50+G50+J50+M50+P50+S50</f>
        <v/>
      </c>
    </row>
    <row r="61">
      <c r="A61" s="17" t="inlineStr">
        <is>
          <t>Pencapaian SPG</t>
        </is>
      </c>
      <c r="B61" s="13">
        <f>B51+E51+H51+K51+N51+Q51</f>
        <v/>
      </c>
      <c r="C61" s="13">
        <f>C51+F51+I51+L51+O51+R51</f>
        <v/>
      </c>
      <c r="D61" s="13">
        <f>D51+G51+J51+M51+P51+S51</f>
        <v/>
      </c>
    </row>
    <row r="62">
      <c r="A62" s="17" t="inlineStr">
        <is>
          <t>Kesehatan Jasmani</t>
        </is>
      </c>
      <c r="B62" s="13">
        <f>B52+E52+H52+K52+N52+Q52</f>
        <v/>
      </c>
      <c r="C62" s="13">
        <f>C52+F52+I52+L52+O52+R52</f>
        <v/>
      </c>
      <c r="D62" s="13">
        <f>D52+G52+J52+M52+P52+S52</f>
        <v/>
      </c>
    </row>
    <row r="63">
      <c r="A63" s="17" t="inlineStr">
        <is>
          <t>Tes Wawancara</t>
        </is>
      </c>
      <c r="B63" s="13">
        <f>B53+E53+H53+K53+N53+Q53</f>
        <v/>
      </c>
      <c r="C63" s="13">
        <f>C53+F53+I53+L53+O53+R53</f>
        <v/>
      </c>
      <c r="D63" s="13">
        <f>D53+G53+J53+M53+P53+S53</f>
        <v/>
      </c>
    </row>
    <row r="64">
      <c r="A64" s="17" t="inlineStr">
        <is>
          <t>Tes Pilihan Ganda</t>
        </is>
      </c>
      <c r="B64" s="13">
        <f>B54+E54+H54+K54+N54+Q54</f>
        <v/>
      </c>
      <c r="C64" s="13">
        <f>C54+F54+I54+L54+O54+R54</f>
        <v/>
      </c>
      <c r="D64" s="13">
        <f>D54+G54+J54+M54+P54+S54</f>
        <v/>
      </c>
    </row>
    <row r="65">
      <c r="A65" s="8" t="inlineStr">
        <is>
          <t>TOTAL</t>
        </is>
      </c>
      <c r="B65" s="15">
        <f>SUM(B59:B64)</f>
        <v/>
      </c>
      <c r="C65" s="15">
        <f>SUM(C59:C64)</f>
        <v/>
      </c>
      <c r="D65" s="15">
        <f>SUM(D59:D64)</f>
        <v/>
      </c>
    </row>
    <row r="67">
      <c r="A67" s="5" t="inlineStr">
        <is>
          <t>RINGKASAN: BOBOT KRITERIA HASIL FUZZY AHP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10" t="inlineStr">
        <is>
          <t>No</t>
        </is>
      </c>
      <c r="B68" s="10" t="inlineStr">
        <is>
          <t>Kriteria</t>
        </is>
      </c>
      <c r="C68" s="10" t="inlineStr">
        <is>
          <t>Bobot (wi)</t>
        </is>
      </c>
      <c r="D68" s="10" t="inlineStr">
        <is>
          <t>Bobot (%)</t>
        </is>
      </c>
    </row>
    <row r="69">
      <c r="A69" s="8" t="n">
        <v>1</v>
      </c>
      <c r="B69" s="8" t="inlineStr">
        <is>
          <t>Status Keaktifan</t>
        </is>
      </c>
      <c r="C69" s="23">
        <f>I21</f>
        <v/>
      </c>
      <c r="D69" s="24">
        <f>I21*100</f>
        <v/>
      </c>
    </row>
    <row r="70">
      <c r="A70" s="8" t="n">
        <v>2</v>
      </c>
      <c r="B70" s="8" t="inlineStr">
        <is>
          <t>Pencapaian SKU</t>
        </is>
      </c>
      <c r="C70" s="23">
        <f>I22</f>
        <v/>
      </c>
      <c r="D70" s="24">
        <f>I22*100</f>
        <v/>
      </c>
    </row>
    <row r="71">
      <c r="A71" s="8" t="n">
        <v>3</v>
      </c>
      <c r="B71" s="8" t="inlineStr">
        <is>
          <t>Pencapaian SPG</t>
        </is>
      </c>
      <c r="C71" s="23">
        <f>I23</f>
        <v/>
      </c>
      <c r="D71" s="24">
        <f>I23*100</f>
        <v/>
      </c>
    </row>
    <row r="72">
      <c r="A72" s="8" t="n">
        <v>4</v>
      </c>
      <c r="B72" s="8" t="inlineStr">
        <is>
          <t>Kesehatan Jasmani</t>
        </is>
      </c>
      <c r="C72" s="23">
        <f>I24</f>
        <v/>
      </c>
      <c r="D72" s="24">
        <f>I24*100</f>
        <v/>
      </c>
    </row>
    <row r="73">
      <c r="A73" s="8" t="n">
        <v>5</v>
      </c>
      <c r="B73" s="8" t="inlineStr">
        <is>
          <t>Tes Wawancara</t>
        </is>
      </c>
      <c r="C73" s="23">
        <f>I25</f>
        <v/>
      </c>
      <c r="D73" s="24">
        <f>I25*100</f>
        <v/>
      </c>
    </row>
    <row r="74">
      <c r="A74" s="8" t="n">
        <v>6</v>
      </c>
      <c r="B74" s="8" t="inlineStr">
        <is>
          <t>Tes Pilihan Ganda</t>
        </is>
      </c>
      <c r="C74" s="23">
        <f>I26</f>
        <v/>
      </c>
      <c r="D74" s="24">
        <f>I26*100</f>
        <v/>
      </c>
    </row>
    <row r="75">
      <c r="B75" s="8" t="inlineStr">
        <is>
          <t>TOTAL</t>
        </is>
      </c>
      <c r="C75" s="15">
        <f>SUM(C69:C74)</f>
        <v/>
      </c>
      <c r="D75" s="15">
        <f>SUM(D69:D74)</f>
        <v/>
      </c>
    </row>
    <row r="77">
      <c r="A77" s="16" t="inlineStr">
        <is>
          <t>STATUS:</t>
        </is>
      </c>
      <c r="B77" s="25">
        <f>IF($B$42&lt;=0.1,"VALID - Hasil dapat digunakan","TIDAK VALID - Perbaiki matriks perbandingan")</f>
        <v/>
      </c>
    </row>
  </sheetData>
  <mergeCells count="19">
    <mergeCell ref="K47:M47"/>
    <mergeCell ref="A29:J29"/>
    <mergeCell ref="A19:J19"/>
    <mergeCell ref="A45:T45"/>
    <mergeCell ref="A67:J67"/>
    <mergeCell ref="H47:J47"/>
    <mergeCell ref="A46:T46"/>
    <mergeCell ref="A1:J1"/>
    <mergeCell ref="A6:J6"/>
    <mergeCell ref="E47:G47"/>
    <mergeCell ref="B77:E77"/>
    <mergeCell ref="Q47:S47"/>
    <mergeCell ref="B47:D47"/>
    <mergeCell ref="N47:P47"/>
    <mergeCell ref="A18:J18"/>
    <mergeCell ref="A56:J56"/>
    <mergeCell ref="A2:J2"/>
    <mergeCell ref="A57:J57"/>
    <mergeCell ref="B43:D4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2026-02-03T14:34:47Z</dcterms:created>
  <dcterms:modified xsi:type="dcterms:W3CDTF">2026-02-03T14:34:47Z</dcterms:modified>
</cp:coreProperties>
</file>