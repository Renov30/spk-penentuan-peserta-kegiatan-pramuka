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&amp; Penugasan" sheetId="1" state="visible" r:id="rId1"/>
    <sheet name="Input Penilai 1" sheetId="2" state="visible" r:id="rId2"/>
    <sheet name="Input Penilai 2" sheetId="3" state="visible" r:id="rId3"/>
    <sheet name="Input Penilai 3" sheetId="4" state="visible" r:id="rId4"/>
    <sheet name="Rekap Nilai" sheetId="5" state="visible" r:id="rId5"/>
    <sheet name="1-3. Crisp &amp; Konsistensi" sheetId="6" state="visible" r:id="rId6"/>
    <sheet name="4-6. Fuzzy &amp; Bobot" sheetId="7" state="visible" r:id="rId7"/>
    <sheet name="Hasil &amp; 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20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color rgb="00FF0000"/>
    </font>
    <font>
      <b val="1"/>
      <color rgb="001F4E79"/>
      <sz val="12"/>
    </font>
    <font>
      <color rgb="000000FF"/>
      <sz val="11"/>
    </font>
    <font>
      <b val="1"/>
      <color rgb="00FFFFFF"/>
      <sz val="11"/>
    </font>
    <font>
      <sz val="10"/>
    </font>
    <font>
      <b val="1"/>
      <color rgb="00FFFFFF"/>
      <sz val="18"/>
    </font>
    <font>
      <b val="1"/>
      <sz val="12"/>
    </font>
    <font>
      <i val="1"/>
      <color rgb="00666666"/>
      <sz val="10"/>
    </font>
    <font>
      <b val="1"/>
      <color rgb="001F4E79"/>
      <sz val="16"/>
    </font>
    <font>
      <i val="1"/>
      <color rgb="00666666"/>
    </font>
    <font>
      <b val="1"/>
    </font>
    <font>
      <b val="1"/>
      <color rgb="00FFFFFF"/>
      <sz val="12"/>
    </font>
    <font>
      <i val="1"/>
      <color rgb="00666666"/>
      <sz val="9"/>
    </font>
    <font>
      <b val="1"/>
      <color rgb="001F4E79"/>
      <sz val="11"/>
    </font>
    <font>
      <b val="1"/>
      <color rgb="0016A34A"/>
      <sz val="14"/>
    </font>
    <font>
      <b val="1"/>
      <sz val="14"/>
    </font>
    <font>
      <b val="1"/>
      <color rgb="009333EA"/>
      <sz val="12"/>
    </font>
    <font>
      <b val="1"/>
      <color rgb="000D9488"/>
      <sz val="12"/>
    </font>
  </fonts>
  <fills count="21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BEAFE"/>
        <bgColor rgb="00DBEAFE"/>
      </patternFill>
    </fill>
    <fill>
      <patternFill patternType="solid">
        <fgColor rgb="003B82F6"/>
        <bgColor rgb="003B82F6"/>
      </patternFill>
    </fill>
    <fill>
      <patternFill patternType="solid">
        <fgColor rgb="00D1FAE5"/>
        <bgColor rgb="00D1FAE5"/>
      </patternFill>
    </fill>
    <fill>
      <patternFill patternType="solid">
        <fgColor rgb="0010B981"/>
        <bgColor rgb="0010B981"/>
      </patternFill>
    </fill>
    <fill>
      <patternFill patternType="solid">
        <fgColor rgb="00FEE2E2"/>
        <bgColor rgb="00FEE2E2"/>
      </patternFill>
    </fill>
    <fill>
      <patternFill patternType="solid">
        <fgColor rgb="00EF4444"/>
        <bgColor rgb="00EF4444"/>
      </patternFill>
    </fill>
    <fill>
      <patternFill patternType="solid">
        <fgColor rgb="00ED7D31"/>
        <bgColor rgb="00ED7D31"/>
      </patternFill>
    </fill>
    <fill>
      <patternFill patternType="solid">
        <fgColor rgb="00D6DCE4"/>
        <bgColor rgb="00D6DCE4"/>
      </patternFill>
    </fill>
    <fill>
      <patternFill patternType="solid">
        <fgColor rgb="002563EB"/>
        <bgColor rgb="002563EB"/>
      </patternFill>
    </fill>
    <fill>
      <patternFill patternType="solid">
        <fgColor rgb="0016A34A"/>
        <bgColor rgb="0016A34A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CA8A04"/>
        <bgColor rgb="00CA8A04"/>
      </patternFill>
    </fill>
    <fill>
      <patternFill patternType="solid">
        <fgColor rgb="00FFF2CC"/>
        <bgColor rgb="00FFF2CC"/>
      </patternFill>
    </fill>
    <fill>
      <patternFill patternType="solid">
        <fgColor rgb="009333EA"/>
        <bgColor rgb="009333EA"/>
      </patternFill>
    </fill>
    <fill>
      <patternFill patternType="solid">
        <fgColor rgb="000D9488"/>
        <bgColor rgb="000D9488"/>
      </patternFill>
    </fill>
    <fill>
      <patternFill patternType="solid">
        <fgColor rgb="00CCFBF1"/>
        <bgColor rgb="00CCFB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0" pivotButton="0" quotePrefix="0" xfId="0"/>
    <xf numFmtId="0" fontId="0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7" fillId="7" borderId="0" pivotButton="0" quotePrefix="0" xfId="0"/>
    <xf numFmtId="0" fontId="0" fillId="7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7" fillId="9" borderId="0" pivotButton="0" quotePrefix="0" xfId="0"/>
    <xf numFmtId="0" fontId="0" fillId="9" borderId="0" pivotButton="0" quotePrefix="0" xfId="0"/>
    <xf numFmtId="0" fontId="5" fillId="9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6" fillId="11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13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14" fillId="0" borderId="0" pivotButton="0" quotePrefix="0" xfId="0"/>
    <xf numFmtId="2" fontId="6" fillId="0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5" fillId="13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0" fillId="16" borderId="1" pivotButton="0" quotePrefix="0" xfId="0"/>
    <xf numFmtId="0" fontId="5" fillId="16" borderId="1" applyAlignment="1" pivotButton="0" quotePrefix="0" xfId="0">
      <alignment horizontal="center" vertical="center" wrapText="1"/>
    </xf>
    <xf numFmtId="164" fontId="6" fillId="17" borderId="1" applyAlignment="1" pivotButton="0" quotePrefix="0" xfId="0">
      <alignment horizontal="center" vertical="center" wrapText="1"/>
    </xf>
    <xf numFmtId="0" fontId="15" fillId="0" borderId="0" pivotButton="0" quotePrefix="0" xfId="0"/>
    <xf numFmtId="164" fontId="6" fillId="15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5" fillId="18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0" fillId="18" borderId="1" pivotButton="0" quotePrefix="0" xfId="0"/>
    <xf numFmtId="0" fontId="13" fillId="19" borderId="1" applyAlignment="1" pivotButton="0" quotePrefix="0" xfId="0">
      <alignment horizontal="center" vertical="center" wrapText="1"/>
    </xf>
    <xf numFmtId="0" fontId="0" fillId="19" borderId="1" pivotButton="0" quotePrefix="0" xfId="0"/>
    <xf numFmtId="0" fontId="5" fillId="19" borderId="1" applyAlignment="1" pivotButton="0" quotePrefix="0" xfId="0">
      <alignment horizontal="center" vertical="center" wrapText="1"/>
    </xf>
    <xf numFmtId="164" fontId="6" fillId="2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19" fillId="0" borderId="0" pivotButton="0" quotePrefix="0" xfId="0"/>
    <xf numFmtId="2" fontId="6" fillId="4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  <xf numFmtId="2" fontId="6" fillId="8" borderId="1" applyAlignment="1" pivotButton="0" quotePrefix="0" xfId="0">
      <alignment horizontal="center" vertical="center" wrapText="1"/>
    </xf>
    <xf numFmtId="2" fontId="6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FUZZY AHP - SISTEM 3 PENILAI</t>
        </is>
      </c>
    </row>
    <row r="2">
      <c r="A2" s="2" t="inlineStr">
        <is>
          <t>Masukkan data di sel berwarna KUNING</t>
        </is>
      </c>
    </row>
    <row r="4">
      <c r="A4" s="3" t="inlineStr">
        <is>
          <t>DATA KEGIATAN</t>
        </is>
      </c>
    </row>
    <row r="5">
      <c r="A5" t="inlineStr">
        <is>
          <t>Nama Kegiatan:</t>
        </is>
      </c>
      <c r="B5" s="4" t="inlineStr">
        <is>
          <t>Raimuna Daerah</t>
        </is>
      </c>
      <c r="C5" s="5" t="n"/>
      <c r="D5" s="6" t="n"/>
    </row>
    <row r="6">
      <c r="A6" t="inlineStr">
        <is>
          <t>Kuota:</t>
        </is>
      </c>
      <c r="B6" s="4" t="n">
        <v>5</v>
      </c>
    </row>
    <row r="8">
      <c r="A8" s="3" t="inlineStr">
        <is>
          <t>PENUGASAN PENILAI</t>
        </is>
      </c>
    </row>
    <row r="9">
      <c r="A9" s="7" t="inlineStr">
        <is>
          <t>Penilai</t>
        </is>
      </c>
      <c r="B9" s="7" t="inlineStr">
        <is>
          <t>Nama Penilai</t>
        </is>
      </c>
      <c r="C9" s="7" t="inlineStr">
        <is>
          <t>Kriteria 1</t>
        </is>
      </c>
      <c r="D9" s="7" t="inlineStr">
        <is>
          <t>Kriteria 2</t>
        </is>
      </c>
      <c r="E9" s="7" t="inlineStr">
        <is>
          <t>Warna</t>
        </is>
      </c>
    </row>
    <row r="10">
      <c r="A10" s="8" t="inlineStr">
        <is>
          <t>Penilai 1</t>
        </is>
      </c>
      <c r="B10" s="4" t="inlineStr">
        <is>
          <t>Pak Ahmad</t>
        </is>
      </c>
      <c r="C10" s="8" t="inlineStr">
        <is>
          <t>K1 - Status Keaktifan</t>
        </is>
      </c>
      <c r="D10" s="8" t="inlineStr">
        <is>
          <t>K2 - Pencapaian SKU</t>
        </is>
      </c>
      <c r="E10" s="9" t="inlineStr"/>
    </row>
    <row r="11">
      <c r="A11" s="10" t="inlineStr">
        <is>
          <t>Penilai 2</t>
        </is>
      </c>
      <c r="B11" s="4" t="inlineStr">
        <is>
          <t>Bu Siti</t>
        </is>
      </c>
      <c r="C11" s="10" t="inlineStr">
        <is>
          <t>K3 - Pencapaian SPG</t>
        </is>
      </c>
      <c r="D11" s="10" t="inlineStr">
        <is>
          <t>K4 - Kesehatan Jasmani</t>
        </is>
      </c>
      <c r="E11" s="11" t="inlineStr"/>
    </row>
    <row r="12">
      <c r="A12" s="12" t="inlineStr">
        <is>
          <t>Penilai 3</t>
        </is>
      </c>
      <c r="B12" s="4" t="inlineStr">
        <is>
          <t>Pak Budi</t>
        </is>
      </c>
      <c r="C12" s="12" t="inlineStr">
        <is>
          <t>K5 - Tes Wawancara</t>
        </is>
      </c>
      <c r="D12" s="12" t="inlineStr">
        <is>
          <t>K6 - Tes Pilihan Ganda</t>
        </is>
      </c>
      <c r="E12" s="13" t="inlineStr"/>
    </row>
    <row r="14">
      <c r="A14" s="3" t="inlineStr">
        <is>
          <t>BOBOT KRITERIA</t>
        </is>
      </c>
    </row>
    <row r="15">
      <c r="A15" s="7" t="inlineStr">
        <is>
          <t>Kode</t>
        </is>
      </c>
      <c r="B15" s="7" t="inlineStr">
        <is>
          <t>Kriteria</t>
        </is>
      </c>
      <c r="C15" s="14" t="inlineStr">
        <is>
          <t>Bobot</t>
        </is>
      </c>
      <c r="D15" s="7" t="inlineStr">
        <is>
          <t>Penilai</t>
        </is>
      </c>
    </row>
    <row r="16">
      <c r="A16" s="15" t="inlineStr">
        <is>
          <t>K1</t>
        </is>
      </c>
      <c r="B16" s="15" t="inlineStr">
        <is>
          <t>Status Keaktifan</t>
        </is>
      </c>
      <c r="C16" s="4" t="n">
        <v>1</v>
      </c>
      <c r="D16" s="8" t="inlineStr">
        <is>
          <t>Penilai 1</t>
        </is>
      </c>
    </row>
    <row r="17">
      <c r="A17" s="15" t="inlineStr">
        <is>
          <t>K2</t>
        </is>
      </c>
      <c r="B17" s="15" t="inlineStr">
        <is>
          <t>Pencapaian SKU</t>
        </is>
      </c>
      <c r="C17" s="4" t="n">
        <v>2</v>
      </c>
      <c r="D17" s="8" t="inlineStr">
        <is>
          <t>Penilai 1</t>
        </is>
      </c>
    </row>
    <row r="18">
      <c r="A18" s="15" t="inlineStr">
        <is>
          <t>K3</t>
        </is>
      </c>
      <c r="B18" s="15" t="inlineStr">
        <is>
          <t>Pencapaian SPG</t>
        </is>
      </c>
      <c r="C18" s="4" t="n">
        <v>2</v>
      </c>
      <c r="D18" s="10" t="inlineStr">
        <is>
          <t>Penilai 2</t>
        </is>
      </c>
    </row>
    <row r="19">
      <c r="A19" s="15" t="inlineStr">
        <is>
          <t>K4</t>
        </is>
      </c>
      <c r="B19" s="15" t="inlineStr">
        <is>
          <t>Kesehatan Jasmani</t>
        </is>
      </c>
      <c r="C19" s="4" t="n">
        <v>3</v>
      </c>
      <c r="D19" s="10" t="inlineStr">
        <is>
          <t>Penilai 2</t>
        </is>
      </c>
    </row>
    <row r="20">
      <c r="A20" s="15" t="inlineStr">
        <is>
          <t>K5</t>
        </is>
      </c>
      <c r="B20" s="15" t="inlineStr">
        <is>
          <t>Tes Wawancara</t>
        </is>
      </c>
      <c r="C20" s="4" t="n">
        <v>4</v>
      </c>
      <c r="D20" s="12" t="inlineStr">
        <is>
          <t>Penilai 3</t>
        </is>
      </c>
    </row>
    <row r="21">
      <c r="A21" s="15" t="inlineStr">
        <is>
          <t>K6</t>
        </is>
      </c>
      <c r="B21" s="15" t="inlineStr">
        <is>
          <t>Tes Pilihan Ganda</t>
        </is>
      </c>
      <c r="C21" s="4" t="n">
        <v>5</v>
      </c>
      <c r="D21" s="12" t="inlineStr">
        <is>
          <t>Penilai 3</t>
        </is>
      </c>
    </row>
    <row r="23">
      <c r="A23" s="3" t="inlineStr">
        <is>
          <t>DAFTAR PESERTA</t>
        </is>
      </c>
    </row>
    <row r="24">
      <c r="A24" s="7" t="inlineStr">
        <is>
          <t>No</t>
        </is>
      </c>
      <c r="B24" s="7" t="inlineStr">
        <is>
          <t>Nama Peserta</t>
        </is>
      </c>
      <c r="C24" s="7" t="inlineStr">
        <is>
          <t>Asal</t>
        </is>
      </c>
    </row>
    <row r="25">
      <c r="A25" s="15" t="n">
        <v>1</v>
      </c>
      <c r="B25" s="4" t="inlineStr">
        <is>
          <t>David Kulian</t>
        </is>
      </c>
      <c r="C25" s="4" t="inlineStr">
        <is>
          <t>Merauke</t>
        </is>
      </c>
    </row>
    <row r="26">
      <c r="A26" s="15" t="n">
        <v>2</v>
      </c>
      <c r="B26" s="4" t="inlineStr">
        <is>
          <t>Siti Aminah</t>
        </is>
      </c>
      <c r="C26" s="4" t="inlineStr">
        <is>
          <t>Jayapura</t>
        </is>
      </c>
    </row>
    <row r="27">
      <c r="A27" s="15" t="n">
        <v>3</v>
      </c>
      <c r="B27" s="4" t="inlineStr">
        <is>
          <t>Budi Santoso</t>
        </is>
      </c>
      <c r="C27" s="4" t="inlineStr">
        <is>
          <t>Sorong</t>
        </is>
      </c>
    </row>
    <row r="28">
      <c r="A28" s="15" t="n">
        <v>4</v>
      </c>
      <c r="B28" s="4" t="inlineStr">
        <is>
          <t>Dewi Lestari</t>
        </is>
      </c>
      <c r="C28" s="4" t="inlineStr">
        <is>
          <t>Manokwari</t>
        </is>
      </c>
    </row>
    <row r="29">
      <c r="A29" s="15" t="n">
        <v>5</v>
      </c>
      <c r="B29" s="4" t="inlineStr">
        <is>
          <t>Ahmad Fauzi</t>
        </is>
      </c>
      <c r="C29" s="4" t="inlineStr">
        <is>
          <t>Biak</t>
        </is>
      </c>
    </row>
    <row r="30">
      <c r="A30" s="15" t="n">
        <v>6</v>
      </c>
      <c r="B30" s="4" t="inlineStr">
        <is>
          <t>Rina Wati</t>
        </is>
      </c>
      <c r="C30" s="4" t="inlineStr">
        <is>
          <t>Mimika</t>
        </is>
      </c>
    </row>
    <row r="31">
      <c r="A31" s="15" t="n">
        <v>7</v>
      </c>
      <c r="B31" s="4" t="inlineStr">
        <is>
          <t>Joko Susilo</t>
        </is>
      </c>
      <c r="C31" s="4" t="inlineStr">
        <is>
          <t>Nabire</t>
        </is>
      </c>
    </row>
    <row r="32">
      <c r="A32" s="15" t="n">
        <v>8</v>
      </c>
      <c r="B32" s="4" t="inlineStr">
        <is>
          <t>Maya Sari</t>
        </is>
      </c>
      <c r="C32" s="4" t="inlineStr">
        <is>
          <t>Timika</t>
        </is>
      </c>
    </row>
    <row r="33">
      <c r="A33" s="15" t="n">
        <v>9</v>
      </c>
      <c r="B33" s="4" t="inlineStr">
        <is>
          <t>Andi Pratama</t>
        </is>
      </c>
      <c r="C33" s="4" t="inlineStr">
        <is>
          <t>Wamena</t>
        </is>
      </c>
    </row>
    <row r="34">
      <c r="A34" s="15" t="n">
        <v>10</v>
      </c>
      <c r="B34" s="4" t="inlineStr">
        <is>
          <t>Lina Marlina</t>
        </is>
      </c>
      <c r="C34" s="4" t="inlineStr">
        <is>
          <t>Sarmi</t>
        </is>
      </c>
    </row>
  </sheetData>
  <mergeCells count="7">
    <mergeCell ref="A2:F2"/>
    <mergeCell ref="A23:D23"/>
    <mergeCell ref="B5:D5"/>
    <mergeCell ref="A4:D4"/>
    <mergeCell ref="A1:F1"/>
    <mergeCell ref="A8:E8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8" customWidth="1" min="4" max="4"/>
  </cols>
  <sheetData>
    <row r="1">
      <c r="A1" s="16" t="inlineStr">
        <is>
          <t>INPUT NILAI - PENILAI 1</t>
        </is>
      </c>
      <c r="B1" s="17" t="n"/>
      <c r="C1" s="17" t="n"/>
      <c r="D1" s="17" t="n"/>
      <c r="E1" s="17" t="n"/>
    </row>
    <row r="2">
      <c r="A2" s="18" t="inlineStr">
        <is>
          <t>Nama: Pak Ahmad</t>
        </is>
      </c>
    </row>
    <row r="3">
      <c r="A3" s="19" t="inlineStr">
        <is>
          <t>Kriteria yang dinilai: K1 (Status Keaktifan) dan K2 (Pencapaian SKU)</t>
        </is>
      </c>
    </row>
    <row r="5" ht="40" customHeight="1">
      <c r="A5" s="20" t="inlineStr">
        <is>
          <t>No</t>
        </is>
      </c>
      <c r="B5" s="20" t="inlineStr">
        <is>
          <t>Nama Peserta</t>
        </is>
      </c>
      <c r="C5" s="20" t="inlineStr">
        <is>
          <t>K1
Status Keaktifan</t>
        </is>
      </c>
      <c r="D5" s="20" t="inlineStr">
        <is>
          <t>K2
Pencapaian SKU</t>
        </is>
      </c>
    </row>
    <row r="6">
      <c r="A6" s="15" t="n">
        <v>1</v>
      </c>
      <c r="B6" s="8">
        <f>'Data &amp; Penugasan'!B25</f>
        <v/>
      </c>
      <c r="C6" s="4" t="n">
        <v>85</v>
      </c>
      <c r="D6" s="4" t="n">
        <v>78</v>
      </c>
    </row>
    <row r="7">
      <c r="A7" s="15" t="n">
        <v>2</v>
      </c>
      <c r="B7" s="8">
        <f>'Data &amp; Penugasan'!B26</f>
        <v/>
      </c>
      <c r="C7" s="4" t="n">
        <v>78</v>
      </c>
      <c r="D7" s="4" t="n">
        <v>82</v>
      </c>
    </row>
    <row r="8">
      <c r="A8" s="15" t="n">
        <v>3</v>
      </c>
      <c r="B8" s="8">
        <f>'Data &amp; Penugasan'!B27</f>
        <v/>
      </c>
      <c r="C8" s="4" t="n">
        <v>92</v>
      </c>
      <c r="D8" s="4" t="n">
        <v>88</v>
      </c>
    </row>
    <row r="9">
      <c r="A9" s="15" t="n">
        <v>4</v>
      </c>
      <c r="B9" s="8">
        <f>'Data &amp; Penugasan'!B28</f>
        <v/>
      </c>
      <c r="C9" s="4" t="n">
        <v>80</v>
      </c>
      <c r="D9" s="4" t="n">
        <v>85</v>
      </c>
    </row>
    <row r="10">
      <c r="A10" s="15" t="n">
        <v>5</v>
      </c>
      <c r="B10" s="8">
        <f>'Data &amp; Penugasan'!B29</f>
        <v/>
      </c>
      <c r="C10" s="4" t="n">
        <v>88</v>
      </c>
      <c r="D10" s="4" t="n">
        <v>90</v>
      </c>
    </row>
    <row r="11">
      <c r="A11" s="15" t="n">
        <v>6</v>
      </c>
      <c r="B11" s="8">
        <f>'Data &amp; Penugasan'!B30</f>
        <v/>
      </c>
      <c r="C11" s="4" t="n">
        <v>75</v>
      </c>
      <c r="D11" s="4" t="n">
        <v>80</v>
      </c>
    </row>
    <row r="12">
      <c r="A12" s="15" t="n">
        <v>7</v>
      </c>
      <c r="B12" s="8">
        <f>'Data &amp; Penugasan'!B31</f>
        <v/>
      </c>
      <c r="C12" s="4" t="n">
        <v>82</v>
      </c>
      <c r="D12" s="4" t="n">
        <v>78</v>
      </c>
    </row>
    <row r="13">
      <c r="A13" s="15" t="n">
        <v>8</v>
      </c>
      <c r="B13" s="8">
        <f>'Data &amp; Penugasan'!B32</f>
        <v/>
      </c>
      <c r="C13" s="4" t="n">
        <v>90</v>
      </c>
      <c r="D13" s="4" t="n">
        <v>85</v>
      </c>
    </row>
    <row r="14">
      <c r="A14" s="15" t="n">
        <v>9</v>
      </c>
      <c r="B14" s="8">
        <f>'Data &amp; Penugasan'!B33</f>
        <v/>
      </c>
      <c r="C14" s="4" t="n">
        <v>85</v>
      </c>
      <c r="D14" s="4" t="n">
        <v>82</v>
      </c>
    </row>
    <row r="15">
      <c r="A15" s="15" t="n">
        <v>10</v>
      </c>
      <c r="B15" s="8">
        <f>'Data &amp; Penugasan'!B34</f>
        <v/>
      </c>
      <c r="C15" s="4" t="n">
        <v>78</v>
      </c>
      <c r="D15" s="4" t="n">
        <v>80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8" customWidth="1" min="4" max="4"/>
  </cols>
  <sheetData>
    <row r="1">
      <c r="A1" s="21" t="inlineStr">
        <is>
          <t>INPUT NILAI - PENILAI 2</t>
        </is>
      </c>
      <c r="B1" s="22" t="n"/>
      <c r="C1" s="22" t="n"/>
      <c r="D1" s="22" t="n"/>
      <c r="E1" s="22" t="n"/>
    </row>
    <row r="2">
      <c r="A2" s="18" t="inlineStr">
        <is>
          <t>Nama: Bu Siti</t>
        </is>
      </c>
    </row>
    <row r="3">
      <c r="A3" s="19" t="inlineStr">
        <is>
          <t>Kriteria yang dinilai: K3 (Pencapaian SPG) dan K4 (Kesehatan Jasmani)</t>
        </is>
      </c>
    </row>
    <row r="5" ht="40" customHeight="1">
      <c r="A5" s="23" t="inlineStr">
        <is>
          <t>No</t>
        </is>
      </c>
      <c r="B5" s="23" t="inlineStr">
        <is>
          <t>Nama Peserta</t>
        </is>
      </c>
      <c r="C5" s="23" t="inlineStr">
        <is>
          <t>K3
Pencapaian SPG</t>
        </is>
      </c>
      <c r="D5" s="23" t="inlineStr">
        <is>
          <t>K4
Kesehatan Jasmani</t>
        </is>
      </c>
    </row>
    <row r="6">
      <c r="A6" s="15" t="n">
        <v>1</v>
      </c>
      <c r="B6" s="10">
        <f>'Data &amp; Penugasan'!B25</f>
        <v/>
      </c>
      <c r="C6" s="4" t="n">
        <v>88</v>
      </c>
      <c r="D6" s="4" t="n">
        <v>92</v>
      </c>
    </row>
    <row r="7">
      <c r="A7" s="15" t="n">
        <v>2</v>
      </c>
      <c r="B7" s="10">
        <f>'Data &amp; Penugasan'!B26</f>
        <v/>
      </c>
      <c r="C7" s="4" t="n">
        <v>82</v>
      </c>
      <c r="D7" s="4" t="n">
        <v>88</v>
      </c>
    </row>
    <row r="8">
      <c r="A8" s="15" t="n">
        <v>3</v>
      </c>
      <c r="B8" s="10">
        <f>'Data &amp; Penugasan'!B27</f>
        <v/>
      </c>
      <c r="C8" s="4" t="n">
        <v>90</v>
      </c>
      <c r="D8" s="4" t="n">
        <v>85</v>
      </c>
    </row>
    <row r="9">
      <c r="A9" s="15" t="n">
        <v>4</v>
      </c>
      <c r="B9" s="10">
        <f>'Data &amp; Penugasan'!B28</f>
        <v/>
      </c>
      <c r="C9" s="4" t="n">
        <v>85</v>
      </c>
      <c r="D9" s="4" t="n">
        <v>90</v>
      </c>
    </row>
    <row r="10">
      <c r="A10" s="15" t="n">
        <v>5</v>
      </c>
      <c r="B10" s="10">
        <f>'Data &amp; Penugasan'!B29</f>
        <v/>
      </c>
      <c r="C10" s="4" t="n">
        <v>87</v>
      </c>
      <c r="D10" s="4" t="n">
        <v>80</v>
      </c>
    </row>
    <row r="11">
      <c r="A11" s="15" t="n">
        <v>6</v>
      </c>
      <c r="B11" s="10">
        <f>'Data &amp; Penugasan'!B30</f>
        <v/>
      </c>
      <c r="C11" s="4" t="n">
        <v>80</v>
      </c>
      <c r="D11" s="4" t="n">
        <v>85</v>
      </c>
    </row>
    <row r="12">
      <c r="A12" s="15" t="n">
        <v>7</v>
      </c>
      <c r="B12" s="10">
        <f>'Data &amp; Penugasan'!B31</f>
        <v/>
      </c>
      <c r="C12" s="4" t="n">
        <v>88</v>
      </c>
      <c r="D12" s="4" t="n">
        <v>82</v>
      </c>
    </row>
    <row r="13">
      <c r="A13" s="15" t="n">
        <v>8</v>
      </c>
      <c r="B13" s="10">
        <f>'Data &amp; Penugasan'!B32</f>
        <v/>
      </c>
      <c r="C13" s="4" t="n">
        <v>85</v>
      </c>
      <c r="D13" s="4" t="n">
        <v>88</v>
      </c>
    </row>
    <row r="14">
      <c r="A14" s="15" t="n">
        <v>9</v>
      </c>
      <c r="B14" s="10">
        <f>'Data &amp; Penugasan'!B33</f>
        <v/>
      </c>
      <c r="C14" s="4" t="n">
        <v>82</v>
      </c>
      <c r="D14" s="4" t="n">
        <v>85</v>
      </c>
    </row>
    <row r="15">
      <c r="A15" s="15" t="n">
        <v>10</v>
      </c>
      <c r="B15" s="10">
        <f>'Data &amp; Penugasan'!B34</f>
        <v/>
      </c>
      <c r="C15" s="4" t="n">
        <v>85</v>
      </c>
      <c r="D15" s="4" t="n">
        <v>90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8" customWidth="1" min="4" max="4"/>
  </cols>
  <sheetData>
    <row r="1">
      <c r="A1" s="24" t="inlineStr">
        <is>
          <t>INPUT NILAI - PENILAI 3</t>
        </is>
      </c>
      <c r="B1" s="25" t="n"/>
      <c r="C1" s="25" t="n"/>
      <c r="D1" s="25" t="n"/>
      <c r="E1" s="25" t="n"/>
    </row>
    <row r="2">
      <c r="A2" s="18" t="inlineStr">
        <is>
          <t>Nama: Pak Budi</t>
        </is>
      </c>
    </row>
    <row r="3">
      <c r="A3" s="19" t="inlineStr">
        <is>
          <t>Kriteria yang dinilai: K5 (Tes Wawancara) dan K6 (Tes Pilihan Ganda)</t>
        </is>
      </c>
    </row>
    <row r="5" ht="40" customHeight="1">
      <c r="A5" s="26" t="inlineStr">
        <is>
          <t>No</t>
        </is>
      </c>
      <c r="B5" s="26" t="inlineStr">
        <is>
          <t>Nama Peserta</t>
        </is>
      </c>
      <c r="C5" s="26" t="inlineStr">
        <is>
          <t>K5
Tes Wawancara</t>
        </is>
      </c>
      <c r="D5" s="26" t="inlineStr">
        <is>
          <t>K6
Tes Pilihan Ganda</t>
        </is>
      </c>
    </row>
    <row r="6">
      <c r="A6" s="15" t="n">
        <v>1</v>
      </c>
      <c r="B6" s="12">
        <f>'Data &amp; Penugasan'!B25</f>
        <v/>
      </c>
      <c r="C6" s="4" t="n">
        <v>87</v>
      </c>
      <c r="D6" s="4" t="n">
        <v>85</v>
      </c>
    </row>
    <row r="7">
      <c r="A7" s="15" t="n">
        <v>2</v>
      </c>
      <c r="B7" s="12">
        <f>'Data &amp; Penugasan'!B26</f>
        <v/>
      </c>
      <c r="C7" s="4" t="n">
        <v>80</v>
      </c>
      <c r="D7" s="4" t="n">
        <v>78</v>
      </c>
    </row>
    <row r="8">
      <c r="A8" s="15" t="n">
        <v>3</v>
      </c>
      <c r="B8" s="12">
        <f>'Data &amp; Penugasan'!B27</f>
        <v/>
      </c>
      <c r="C8" s="4" t="n">
        <v>88</v>
      </c>
      <c r="D8" s="4" t="n">
        <v>90</v>
      </c>
    </row>
    <row r="9">
      <c r="A9" s="15" t="n">
        <v>4</v>
      </c>
      <c r="B9" s="12">
        <f>'Data &amp; Penugasan'!B28</f>
        <v/>
      </c>
      <c r="C9" s="4" t="n">
        <v>82</v>
      </c>
      <c r="D9" s="4" t="n">
        <v>80</v>
      </c>
    </row>
    <row r="10">
      <c r="A10" s="15" t="n">
        <v>5</v>
      </c>
      <c r="B10" s="12">
        <f>'Data &amp; Penugasan'!B29</f>
        <v/>
      </c>
      <c r="C10" s="4" t="n">
        <v>90</v>
      </c>
      <c r="D10" s="4" t="n">
        <v>88</v>
      </c>
    </row>
    <row r="11">
      <c r="A11" s="15" t="n">
        <v>6</v>
      </c>
      <c r="B11" s="12">
        <f>'Data &amp; Penugasan'!B30</f>
        <v/>
      </c>
      <c r="C11" s="4" t="n">
        <v>85</v>
      </c>
      <c r="D11" s="4" t="n">
        <v>82</v>
      </c>
    </row>
    <row r="12">
      <c r="A12" s="15" t="n">
        <v>7</v>
      </c>
      <c r="B12" s="12">
        <f>'Data &amp; Penugasan'!B31</f>
        <v/>
      </c>
      <c r="C12" s="4" t="n">
        <v>80</v>
      </c>
      <c r="D12" s="4" t="n">
        <v>85</v>
      </c>
    </row>
    <row r="13">
      <c r="A13" s="15" t="n">
        <v>8</v>
      </c>
      <c r="B13" s="12">
        <f>'Data &amp; Penugasan'!B32</f>
        <v/>
      </c>
      <c r="C13" s="4" t="n">
        <v>88</v>
      </c>
      <c r="D13" s="4" t="n">
        <v>92</v>
      </c>
    </row>
    <row r="14">
      <c r="A14" s="15" t="n">
        <v>9</v>
      </c>
      <c r="B14" s="12">
        <f>'Data &amp; Penugasan'!B33</f>
        <v/>
      </c>
      <c r="C14" s="4" t="n">
        <v>85</v>
      </c>
      <c r="D14" s="4" t="n">
        <v>80</v>
      </c>
    </row>
    <row r="15">
      <c r="A15" s="15" t="n">
        <v>10</v>
      </c>
      <c r="B15" s="12">
        <f>'Data &amp; Penugasan'!B34</f>
        <v/>
      </c>
      <c r="C15" s="4" t="n">
        <v>82</v>
      </c>
      <c r="D15" s="4" t="n">
        <v>85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7" t="inlineStr">
        <is>
          <t>REKAPITULASI NILAI DARI SEMUA PENILAI</t>
        </is>
      </c>
    </row>
    <row r="2">
      <c r="A2" s="28" t="inlineStr">
        <is>
          <t>Nilai diambil dari input masing-masing penilai</t>
        </is>
      </c>
    </row>
    <row r="4">
      <c r="A4" s="7" t="inlineStr">
        <is>
          <t>No</t>
        </is>
      </c>
      <c r="B4" s="7" t="inlineStr">
        <is>
          <t>Nama Peserta</t>
        </is>
      </c>
      <c r="C4" s="20" t="inlineStr">
        <is>
          <t>K1</t>
        </is>
      </c>
      <c r="D4" s="20" t="inlineStr">
        <is>
          <t>K2</t>
        </is>
      </c>
      <c r="E4" s="23" t="inlineStr">
        <is>
          <t>K3</t>
        </is>
      </c>
      <c r="F4" s="23" t="inlineStr">
        <is>
          <t>K4</t>
        </is>
      </c>
      <c r="G4" s="26" t="inlineStr">
        <is>
          <t>K5</t>
        </is>
      </c>
      <c r="H4" s="26" t="inlineStr">
        <is>
          <t>K6</t>
        </is>
      </c>
    </row>
    <row r="5">
      <c r="A5" s="15" t="n">
        <v>1</v>
      </c>
      <c r="B5" s="29">
        <f>'Data &amp; Penugasan'!B25</f>
        <v/>
      </c>
      <c r="C5" s="8">
        <f>'Input Penilai 1'!C6</f>
        <v/>
      </c>
      <c r="D5" s="8">
        <f>'Input Penilai 1'!D6</f>
        <v/>
      </c>
      <c r="E5" s="10">
        <f>'Input Penilai 2'!C6</f>
        <v/>
      </c>
      <c r="F5" s="10">
        <f>'Input Penilai 2'!D6</f>
        <v/>
      </c>
      <c r="G5" s="12">
        <f>'Input Penilai 3'!C6</f>
        <v/>
      </c>
      <c r="H5" s="12">
        <f>'Input Penilai 3'!D6</f>
        <v/>
      </c>
    </row>
    <row r="6">
      <c r="A6" s="15" t="n">
        <v>2</v>
      </c>
      <c r="B6" s="29">
        <f>'Data &amp; Penugasan'!B26</f>
        <v/>
      </c>
      <c r="C6" s="8">
        <f>'Input Penilai 1'!C7</f>
        <v/>
      </c>
      <c r="D6" s="8">
        <f>'Input Penilai 1'!D7</f>
        <v/>
      </c>
      <c r="E6" s="10">
        <f>'Input Penilai 2'!C7</f>
        <v/>
      </c>
      <c r="F6" s="10">
        <f>'Input Penilai 2'!D7</f>
        <v/>
      </c>
      <c r="G6" s="12">
        <f>'Input Penilai 3'!C7</f>
        <v/>
      </c>
      <c r="H6" s="12">
        <f>'Input Penilai 3'!D7</f>
        <v/>
      </c>
    </row>
    <row r="7">
      <c r="A7" s="15" t="n">
        <v>3</v>
      </c>
      <c r="B7" s="29">
        <f>'Data &amp; Penugasan'!B27</f>
        <v/>
      </c>
      <c r="C7" s="8">
        <f>'Input Penilai 1'!C8</f>
        <v/>
      </c>
      <c r="D7" s="8">
        <f>'Input Penilai 1'!D8</f>
        <v/>
      </c>
      <c r="E7" s="10">
        <f>'Input Penilai 2'!C8</f>
        <v/>
      </c>
      <c r="F7" s="10">
        <f>'Input Penilai 2'!D8</f>
        <v/>
      </c>
      <c r="G7" s="12">
        <f>'Input Penilai 3'!C8</f>
        <v/>
      </c>
      <c r="H7" s="12">
        <f>'Input Penilai 3'!D8</f>
        <v/>
      </c>
    </row>
    <row r="8">
      <c r="A8" s="15" t="n">
        <v>4</v>
      </c>
      <c r="B8" s="29">
        <f>'Data &amp; Penugasan'!B28</f>
        <v/>
      </c>
      <c r="C8" s="8">
        <f>'Input Penilai 1'!C9</f>
        <v/>
      </c>
      <c r="D8" s="8">
        <f>'Input Penilai 1'!D9</f>
        <v/>
      </c>
      <c r="E8" s="10">
        <f>'Input Penilai 2'!C9</f>
        <v/>
      </c>
      <c r="F8" s="10">
        <f>'Input Penilai 2'!D9</f>
        <v/>
      </c>
      <c r="G8" s="12">
        <f>'Input Penilai 3'!C9</f>
        <v/>
      </c>
      <c r="H8" s="12">
        <f>'Input Penilai 3'!D9</f>
        <v/>
      </c>
    </row>
    <row r="9">
      <c r="A9" s="15" t="n">
        <v>5</v>
      </c>
      <c r="B9" s="29">
        <f>'Data &amp; Penugasan'!B29</f>
        <v/>
      </c>
      <c r="C9" s="8">
        <f>'Input Penilai 1'!C10</f>
        <v/>
      </c>
      <c r="D9" s="8">
        <f>'Input Penilai 1'!D10</f>
        <v/>
      </c>
      <c r="E9" s="10">
        <f>'Input Penilai 2'!C10</f>
        <v/>
      </c>
      <c r="F9" s="10">
        <f>'Input Penilai 2'!D10</f>
        <v/>
      </c>
      <c r="G9" s="12">
        <f>'Input Penilai 3'!C10</f>
        <v/>
      </c>
      <c r="H9" s="12">
        <f>'Input Penilai 3'!D10</f>
        <v/>
      </c>
    </row>
    <row r="10">
      <c r="A10" s="15" t="n">
        <v>6</v>
      </c>
      <c r="B10" s="29">
        <f>'Data &amp; Penugasan'!B30</f>
        <v/>
      </c>
      <c r="C10" s="8">
        <f>'Input Penilai 1'!C11</f>
        <v/>
      </c>
      <c r="D10" s="8">
        <f>'Input Penilai 1'!D11</f>
        <v/>
      </c>
      <c r="E10" s="10">
        <f>'Input Penilai 2'!C11</f>
        <v/>
      </c>
      <c r="F10" s="10">
        <f>'Input Penilai 2'!D11</f>
        <v/>
      </c>
      <c r="G10" s="12">
        <f>'Input Penilai 3'!C11</f>
        <v/>
      </c>
      <c r="H10" s="12">
        <f>'Input Penilai 3'!D11</f>
        <v/>
      </c>
    </row>
    <row r="11">
      <c r="A11" s="15" t="n">
        <v>7</v>
      </c>
      <c r="B11" s="29">
        <f>'Data &amp; Penugasan'!B31</f>
        <v/>
      </c>
      <c r="C11" s="8">
        <f>'Input Penilai 1'!C12</f>
        <v/>
      </c>
      <c r="D11" s="8">
        <f>'Input Penilai 1'!D12</f>
        <v/>
      </c>
      <c r="E11" s="10">
        <f>'Input Penilai 2'!C12</f>
        <v/>
      </c>
      <c r="F11" s="10">
        <f>'Input Penilai 2'!D12</f>
        <v/>
      </c>
      <c r="G11" s="12">
        <f>'Input Penilai 3'!C12</f>
        <v/>
      </c>
      <c r="H11" s="12">
        <f>'Input Penilai 3'!D12</f>
        <v/>
      </c>
    </row>
    <row r="12">
      <c r="A12" s="15" t="n">
        <v>8</v>
      </c>
      <c r="B12" s="29">
        <f>'Data &amp; Penugasan'!B32</f>
        <v/>
      </c>
      <c r="C12" s="8">
        <f>'Input Penilai 1'!C13</f>
        <v/>
      </c>
      <c r="D12" s="8">
        <f>'Input Penilai 1'!D13</f>
        <v/>
      </c>
      <c r="E12" s="10">
        <f>'Input Penilai 2'!C13</f>
        <v/>
      </c>
      <c r="F12" s="10">
        <f>'Input Penilai 2'!D13</f>
        <v/>
      </c>
      <c r="G12" s="12">
        <f>'Input Penilai 3'!C13</f>
        <v/>
      </c>
      <c r="H12" s="12">
        <f>'Input Penilai 3'!D13</f>
        <v/>
      </c>
    </row>
    <row r="13">
      <c r="A13" s="15" t="n">
        <v>9</v>
      </c>
      <c r="B13" s="29">
        <f>'Data &amp; Penugasan'!B33</f>
        <v/>
      </c>
      <c r="C13" s="8">
        <f>'Input Penilai 1'!C14</f>
        <v/>
      </c>
      <c r="D13" s="8">
        <f>'Input Penilai 1'!D14</f>
        <v/>
      </c>
      <c r="E13" s="10">
        <f>'Input Penilai 2'!C14</f>
        <v/>
      </c>
      <c r="F13" s="10">
        <f>'Input Penilai 2'!D14</f>
        <v/>
      </c>
      <c r="G13" s="12">
        <f>'Input Penilai 3'!C14</f>
        <v/>
      </c>
      <c r="H13" s="12">
        <f>'Input Penilai 3'!D14</f>
        <v/>
      </c>
    </row>
    <row r="14">
      <c r="A14" s="15" t="n">
        <v>10</v>
      </c>
      <c r="B14" s="29">
        <f>'Data &amp; Penugasan'!B34</f>
        <v/>
      </c>
      <c r="C14" s="8">
        <f>'Input Penilai 1'!C15</f>
        <v/>
      </c>
      <c r="D14" s="8">
        <f>'Input Penilai 1'!D15</f>
        <v/>
      </c>
      <c r="E14" s="10">
        <f>'Input Penilai 2'!C15</f>
        <v/>
      </c>
      <c r="F14" s="10">
        <f>'Input Penilai 2'!D15</f>
        <v/>
      </c>
      <c r="G14" s="12">
        <f>'Input Penilai 3'!C15</f>
        <v/>
      </c>
      <c r="H14" s="12">
        <f>'Input Penilai 3'!D15</f>
        <v/>
      </c>
    </row>
    <row r="16">
      <c r="A16" s="30" t="inlineStr">
        <is>
          <t>Keterangan:</t>
        </is>
      </c>
    </row>
    <row r="17">
      <c r="A17" s="31" t="inlineStr"/>
      <c r="B17">
        <f> Nilai dari Penilai 1 (K1, K2)</f>
        <v/>
      </c>
    </row>
    <row r="18">
      <c r="A18" s="32" t="inlineStr"/>
      <c r="B18">
        <f> Nilai dari Penilai 2 (K3, K4)</f>
        <v/>
      </c>
    </row>
    <row r="19">
      <c r="A19" s="33" t="inlineStr"/>
      <c r="B19">
        <f> Nilai dari Penilai 3 (K5, K6)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7" t="inlineStr">
        <is>
          <t>LANGKAH 1-3: MATRIKS CRISP, EIGENVECTOR &amp; UJI KONSISTENSI</t>
        </is>
      </c>
    </row>
    <row r="3">
      <c r="A3" s="34" t="inlineStr">
        <is>
          <t>LANGKAH 1: PENYUSUNAN MATRIKS PERBANDINGAN BERPASANGAN (CRISP)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</row>
    <row r="4">
      <c r="A4" s="36" t="inlineStr">
        <is>
          <t>Formula: IF(wi/wj &gt;= 1, MIN(9, MAX(1, wi/wj)), MAX(1/9, wi/wj))</t>
        </is>
      </c>
    </row>
    <row r="5">
      <c r="A5" s="7" t="inlineStr">
        <is>
          <t>Kriteria</t>
        </is>
      </c>
      <c r="B5" s="7" t="inlineStr">
        <is>
          <t>K1</t>
        </is>
      </c>
      <c r="C5" s="7" t="inlineStr">
        <is>
          <t>K2</t>
        </is>
      </c>
      <c r="D5" s="7" t="inlineStr">
        <is>
          <t>K3</t>
        </is>
      </c>
      <c r="E5" s="7" t="inlineStr">
        <is>
          <t>K4</t>
        </is>
      </c>
      <c r="F5" s="7" t="inlineStr">
        <is>
          <t>K5</t>
        </is>
      </c>
      <c r="G5" s="7" t="inlineStr">
        <is>
          <t>K6</t>
        </is>
      </c>
    </row>
    <row r="6">
      <c r="A6" s="29" t="inlineStr">
        <is>
          <t>K1</t>
        </is>
      </c>
      <c r="B6" s="29" t="n">
        <v>1</v>
      </c>
      <c r="C6" s="37">
        <f>IF('Data &amp; Penugasan'!$C$16/'Data &amp; Penugasan'!$C$17&gt;=1,MIN(9,MAX(1,'Data &amp; Penugasan'!$C$16/'Data &amp; Penugasan'!$C$17)),MAX(1/9,'Data &amp; Penugasan'!$C$16/'Data &amp; Penugasan'!$C$17))</f>
        <v/>
      </c>
      <c r="D6" s="37">
        <f>IF('Data &amp; Penugasan'!$C$16/'Data &amp; Penugasan'!$C$18&gt;=1,MIN(9,MAX(1,'Data &amp; Penugasan'!$C$16/'Data &amp; Penugasan'!$C$18)),MAX(1/9,'Data &amp; Penugasan'!$C$16/'Data &amp; Penugasan'!$C$18))</f>
        <v/>
      </c>
      <c r="E6" s="37">
        <f>IF('Data &amp; Penugasan'!$C$16/'Data &amp; Penugasan'!$C$19&gt;=1,MIN(9,MAX(1,'Data &amp; Penugasan'!$C$16/'Data &amp; Penugasan'!$C$19)),MAX(1/9,'Data &amp; Penugasan'!$C$16/'Data &amp; Penugasan'!$C$19))</f>
        <v/>
      </c>
      <c r="F6" s="37">
        <f>IF('Data &amp; Penugasan'!$C$16/'Data &amp; Penugasan'!$C$20&gt;=1,MIN(9,MAX(1,'Data &amp; Penugasan'!$C$16/'Data &amp; Penugasan'!$C$20)),MAX(1/9,'Data &amp; Penugasan'!$C$16/'Data &amp; Penugasan'!$C$20))</f>
        <v/>
      </c>
      <c r="G6" s="37">
        <f>IF('Data &amp; Penugasan'!$C$16/'Data &amp; Penugasan'!$C$21&gt;=1,MIN(9,MAX(1,'Data &amp; Penugasan'!$C$16/'Data &amp; Penugasan'!$C$21)),MAX(1/9,'Data &amp; Penugasan'!$C$16/'Data &amp; Penugasan'!$C$21))</f>
        <v/>
      </c>
    </row>
    <row r="7">
      <c r="A7" s="29" t="inlineStr">
        <is>
          <t>K2</t>
        </is>
      </c>
      <c r="B7" s="37">
        <f>IF('Data &amp; Penugasan'!$C$17/'Data &amp; Penugasan'!$C$16&gt;=1,MIN(9,MAX(1,'Data &amp; Penugasan'!$C$17/'Data &amp; Penugasan'!$C$16)),MAX(1/9,'Data &amp; Penugasan'!$C$17/'Data &amp; Penugasan'!$C$16))</f>
        <v/>
      </c>
      <c r="C7" s="29" t="n">
        <v>1</v>
      </c>
      <c r="D7" s="37">
        <f>IF('Data &amp; Penugasan'!$C$17/'Data &amp; Penugasan'!$C$18&gt;=1,MIN(9,MAX(1,'Data &amp; Penugasan'!$C$17/'Data &amp; Penugasan'!$C$18)),MAX(1/9,'Data &amp; Penugasan'!$C$17/'Data &amp; Penugasan'!$C$18))</f>
        <v/>
      </c>
      <c r="E7" s="37">
        <f>IF('Data &amp; Penugasan'!$C$17/'Data &amp; Penugasan'!$C$19&gt;=1,MIN(9,MAX(1,'Data &amp; Penugasan'!$C$17/'Data &amp; Penugasan'!$C$19)),MAX(1/9,'Data &amp; Penugasan'!$C$17/'Data &amp; Penugasan'!$C$19))</f>
        <v/>
      </c>
      <c r="F7" s="37">
        <f>IF('Data &amp; Penugasan'!$C$17/'Data &amp; Penugasan'!$C$20&gt;=1,MIN(9,MAX(1,'Data &amp; Penugasan'!$C$17/'Data &amp; Penugasan'!$C$20)),MAX(1/9,'Data &amp; Penugasan'!$C$17/'Data &amp; Penugasan'!$C$20))</f>
        <v/>
      </c>
      <c r="G7" s="37">
        <f>IF('Data &amp; Penugasan'!$C$17/'Data &amp; Penugasan'!$C$21&gt;=1,MIN(9,MAX(1,'Data &amp; Penugasan'!$C$17/'Data &amp; Penugasan'!$C$21)),MAX(1/9,'Data &amp; Penugasan'!$C$17/'Data &amp; Penugasan'!$C$21))</f>
        <v/>
      </c>
    </row>
    <row r="8">
      <c r="A8" s="29" t="inlineStr">
        <is>
          <t>K3</t>
        </is>
      </c>
      <c r="B8" s="37">
        <f>IF('Data &amp; Penugasan'!$C$18/'Data &amp; Penugasan'!$C$16&gt;=1,MIN(9,MAX(1,'Data &amp; Penugasan'!$C$18/'Data &amp; Penugasan'!$C$16)),MAX(1/9,'Data &amp; Penugasan'!$C$18/'Data &amp; Penugasan'!$C$16))</f>
        <v/>
      </c>
      <c r="C8" s="37">
        <f>IF('Data &amp; Penugasan'!$C$18/'Data &amp; Penugasan'!$C$17&gt;=1,MIN(9,MAX(1,'Data &amp; Penugasan'!$C$18/'Data &amp; Penugasan'!$C$17)),MAX(1/9,'Data &amp; Penugasan'!$C$18/'Data &amp; Penugasan'!$C$17))</f>
        <v/>
      </c>
      <c r="D8" s="29" t="n">
        <v>1</v>
      </c>
      <c r="E8" s="37">
        <f>IF('Data &amp; Penugasan'!$C$18/'Data &amp; Penugasan'!$C$19&gt;=1,MIN(9,MAX(1,'Data &amp; Penugasan'!$C$18/'Data &amp; Penugasan'!$C$19)),MAX(1/9,'Data &amp; Penugasan'!$C$18/'Data &amp; Penugasan'!$C$19))</f>
        <v/>
      </c>
      <c r="F8" s="37">
        <f>IF('Data &amp; Penugasan'!$C$18/'Data &amp; Penugasan'!$C$20&gt;=1,MIN(9,MAX(1,'Data &amp; Penugasan'!$C$18/'Data &amp; Penugasan'!$C$20)),MAX(1/9,'Data &amp; Penugasan'!$C$18/'Data &amp; Penugasan'!$C$20))</f>
        <v/>
      </c>
      <c r="G8" s="37">
        <f>IF('Data &amp; Penugasan'!$C$18/'Data &amp; Penugasan'!$C$21&gt;=1,MIN(9,MAX(1,'Data &amp; Penugasan'!$C$18/'Data &amp; Penugasan'!$C$21)),MAX(1/9,'Data &amp; Penugasan'!$C$18/'Data &amp; Penugasan'!$C$21))</f>
        <v/>
      </c>
    </row>
    <row r="9">
      <c r="A9" s="29" t="inlineStr">
        <is>
          <t>K4</t>
        </is>
      </c>
      <c r="B9" s="37">
        <f>IF('Data &amp; Penugasan'!$C$19/'Data &amp; Penugasan'!$C$16&gt;=1,MIN(9,MAX(1,'Data &amp; Penugasan'!$C$19/'Data &amp; Penugasan'!$C$16)),MAX(1/9,'Data &amp; Penugasan'!$C$19/'Data &amp; Penugasan'!$C$16))</f>
        <v/>
      </c>
      <c r="C9" s="37">
        <f>IF('Data &amp; Penugasan'!$C$19/'Data &amp; Penugasan'!$C$17&gt;=1,MIN(9,MAX(1,'Data &amp; Penugasan'!$C$19/'Data &amp; Penugasan'!$C$17)),MAX(1/9,'Data &amp; Penugasan'!$C$19/'Data &amp; Penugasan'!$C$17))</f>
        <v/>
      </c>
      <c r="D9" s="37">
        <f>IF('Data &amp; Penugasan'!$C$19/'Data &amp; Penugasan'!$C$18&gt;=1,MIN(9,MAX(1,'Data &amp; Penugasan'!$C$19/'Data &amp; Penugasan'!$C$18)),MAX(1/9,'Data &amp; Penugasan'!$C$19/'Data &amp; Penugasan'!$C$18))</f>
        <v/>
      </c>
      <c r="E9" s="29" t="n">
        <v>1</v>
      </c>
      <c r="F9" s="37">
        <f>IF('Data &amp; Penugasan'!$C$19/'Data &amp; Penugasan'!$C$20&gt;=1,MIN(9,MAX(1,'Data &amp; Penugasan'!$C$19/'Data &amp; Penugasan'!$C$20)),MAX(1/9,'Data &amp; Penugasan'!$C$19/'Data &amp; Penugasan'!$C$20))</f>
        <v/>
      </c>
      <c r="G9" s="37">
        <f>IF('Data &amp; Penugasan'!$C$19/'Data &amp; Penugasan'!$C$21&gt;=1,MIN(9,MAX(1,'Data &amp; Penugasan'!$C$19/'Data &amp; Penugasan'!$C$21)),MAX(1/9,'Data &amp; Penugasan'!$C$19/'Data &amp; Penugasan'!$C$21))</f>
        <v/>
      </c>
    </row>
    <row r="10">
      <c r="A10" s="29" t="inlineStr">
        <is>
          <t>K5</t>
        </is>
      </c>
      <c r="B10" s="37">
        <f>IF('Data &amp; Penugasan'!$C$20/'Data &amp; Penugasan'!$C$16&gt;=1,MIN(9,MAX(1,'Data &amp; Penugasan'!$C$20/'Data &amp; Penugasan'!$C$16)),MAX(1/9,'Data &amp; Penugasan'!$C$20/'Data &amp; Penugasan'!$C$16))</f>
        <v/>
      </c>
      <c r="C10" s="37">
        <f>IF('Data &amp; Penugasan'!$C$20/'Data &amp; Penugasan'!$C$17&gt;=1,MIN(9,MAX(1,'Data &amp; Penugasan'!$C$20/'Data &amp; Penugasan'!$C$17)),MAX(1/9,'Data &amp; Penugasan'!$C$20/'Data &amp; Penugasan'!$C$17))</f>
        <v/>
      </c>
      <c r="D10" s="37">
        <f>IF('Data &amp; Penugasan'!$C$20/'Data &amp; Penugasan'!$C$18&gt;=1,MIN(9,MAX(1,'Data &amp; Penugasan'!$C$20/'Data &amp; Penugasan'!$C$18)),MAX(1/9,'Data &amp; Penugasan'!$C$20/'Data &amp; Penugasan'!$C$18))</f>
        <v/>
      </c>
      <c r="E10" s="37">
        <f>IF('Data &amp; Penugasan'!$C$20/'Data &amp; Penugasan'!$C$19&gt;=1,MIN(9,MAX(1,'Data &amp; Penugasan'!$C$20/'Data &amp; Penugasan'!$C$19)),MAX(1/9,'Data &amp; Penugasan'!$C$20/'Data &amp; Penugasan'!$C$19))</f>
        <v/>
      </c>
      <c r="F10" s="29" t="n">
        <v>1</v>
      </c>
      <c r="G10" s="37">
        <f>IF('Data &amp; Penugasan'!$C$20/'Data &amp; Penugasan'!$C$21&gt;=1,MIN(9,MAX(1,'Data &amp; Penugasan'!$C$20/'Data &amp; Penugasan'!$C$21)),MAX(1/9,'Data &amp; Penugasan'!$C$20/'Data &amp; Penugasan'!$C$21))</f>
        <v/>
      </c>
    </row>
    <row r="11">
      <c r="A11" s="29" t="inlineStr">
        <is>
          <t>K6</t>
        </is>
      </c>
      <c r="B11" s="37">
        <f>IF('Data &amp; Penugasan'!$C$21/'Data &amp; Penugasan'!$C$16&gt;=1,MIN(9,MAX(1,'Data &amp; Penugasan'!$C$21/'Data &amp; Penugasan'!$C$16)),MAX(1/9,'Data &amp; Penugasan'!$C$21/'Data &amp; Penugasan'!$C$16))</f>
        <v/>
      </c>
      <c r="C11" s="37">
        <f>IF('Data &amp; Penugasan'!$C$21/'Data &amp; Penugasan'!$C$17&gt;=1,MIN(9,MAX(1,'Data &amp; Penugasan'!$C$21/'Data &amp; Penugasan'!$C$17)),MAX(1/9,'Data &amp; Penugasan'!$C$21/'Data &amp; Penugasan'!$C$17))</f>
        <v/>
      </c>
      <c r="D11" s="37">
        <f>IF('Data &amp; Penugasan'!$C$21/'Data &amp; Penugasan'!$C$18&gt;=1,MIN(9,MAX(1,'Data &amp; Penugasan'!$C$21/'Data &amp; Penugasan'!$C$18)),MAX(1/9,'Data &amp; Penugasan'!$C$21/'Data &amp; Penugasan'!$C$18))</f>
        <v/>
      </c>
      <c r="E11" s="37">
        <f>IF('Data &amp; Penugasan'!$C$21/'Data &amp; Penugasan'!$C$19&gt;=1,MIN(9,MAX(1,'Data &amp; Penugasan'!$C$21/'Data &amp; Penugasan'!$C$19)),MAX(1/9,'Data &amp; Penugasan'!$C$21/'Data &amp; Penugasan'!$C$19))</f>
        <v/>
      </c>
      <c r="F11" s="37">
        <f>IF('Data &amp; Penugasan'!$C$21/'Data &amp; Penugasan'!$C$20&gt;=1,MIN(9,MAX(1,'Data &amp; Penugasan'!$C$21/'Data &amp; Penugasan'!$C$20)),MAX(1/9,'Data &amp; Penugasan'!$C$21/'Data &amp; Penugasan'!$C$20))</f>
        <v/>
      </c>
      <c r="G11" s="29" t="n">
        <v>1</v>
      </c>
    </row>
    <row r="14">
      <c r="A14" s="38" t="inlineStr">
        <is>
          <t>LANGKAH 2: PERHITUNGAN VECTOR EIGEN (GEOMETRIC MEAN METHOD)</t>
        </is>
      </c>
      <c r="B14" s="39" t="n"/>
      <c r="C14" s="39" t="n"/>
      <c r="D14" s="39" t="n"/>
      <c r="E14" s="39" t="n"/>
      <c r="F14" s="39" t="n"/>
      <c r="G14" s="39" t="n"/>
      <c r="H14" s="39" t="n"/>
      <c r="I14" s="39" t="n"/>
    </row>
    <row r="15">
      <c r="A15" s="7" t="inlineStr">
        <is>
          <t>Kriteria</t>
        </is>
      </c>
      <c r="B15" s="40" t="inlineStr">
        <is>
          <t>Geometric Mean (GM)</t>
        </is>
      </c>
      <c r="C15" s="40" t="inlineStr">
        <is>
          <t>Eigenvector (Wi)</t>
        </is>
      </c>
    </row>
    <row r="16">
      <c r="A16" s="29" t="inlineStr">
        <is>
          <t>Status Keaktifan</t>
        </is>
      </c>
      <c r="B16" s="41">
        <f>(B6*C6*D6*E6*F6*G6)^(1/6)</f>
        <v/>
      </c>
      <c r="C16" s="41">
        <f>B16/$B$22</f>
        <v/>
      </c>
    </row>
    <row r="17">
      <c r="A17" s="29" t="inlineStr">
        <is>
          <t>Pencapaian SKU</t>
        </is>
      </c>
      <c r="B17" s="41">
        <f>(B7*C7*D7*E7*F7*G7)^(1/6)</f>
        <v/>
      </c>
      <c r="C17" s="41">
        <f>B17/$B$22</f>
        <v/>
      </c>
    </row>
    <row r="18">
      <c r="A18" s="29" t="inlineStr">
        <is>
          <t>Pencapaian SPG</t>
        </is>
      </c>
      <c r="B18" s="41">
        <f>(B8*C8*D8*E8*F8*G8)^(1/6)</f>
        <v/>
      </c>
      <c r="C18" s="41">
        <f>B18/$B$22</f>
        <v/>
      </c>
    </row>
    <row r="19">
      <c r="A19" s="29" t="inlineStr">
        <is>
          <t>Kesehatan Jasmani</t>
        </is>
      </c>
      <c r="B19" s="41">
        <f>(B9*C9*D9*E9*F9*G9)^(1/6)</f>
        <v/>
      </c>
      <c r="C19" s="41">
        <f>B19/$B$22</f>
        <v/>
      </c>
    </row>
    <row r="20">
      <c r="A20" s="29" t="inlineStr">
        <is>
          <t>Tes Wawancara</t>
        </is>
      </c>
      <c r="B20" s="41">
        <f>(B10*C10*D10*E10*F10*G10)^(1/6)</f>
        <v/>
      </c>
      <c r="C20" s="41">
        <f>B20/$B$22</f>
        <v/>
      </c>
    </row>
    <row r="21">
      <c r="A21" s="29" t="inlineStr">
        <is>
          <t>Tes Pilihan Ganda</t>
        </is>
      </c>
      <c r="B21" s="41">
        <f>(B11*C11*D11*E11*F11*G11)^(1/6)</f>
        <v/>
      </c>
      <c r="C21" s="41">
        <f>B21/$B$22</f>
        <v/>
      </c>
    </row>
    <row r="22">
      <c r="A22" s="15" t="inlineStr">
        <is>
          <t>Total</t>
        </is>
      </c>
      <c r="B22" s="42">
        <f>SUM(B16:B21)</f>
        <v/>
      </c>
      <c r="C22" s="42">
        <f>SUM(C16:C21)</f>
        <v/>
      </c>
    </row>
    <row r="24">
      <c r="A24" s="43" t="inlineStr">
        <is>
          <t>LANGKAH 3: UJI KONSISTENSI MATRIKS PERBANDINGAN</t>
        </is>
      </c>
      <c r="B24" s="44" t="n"/>
      <c r="C24" s="44" t="n"/>
      <c r="D24" s="44" t="n"/>
      <c r="E24" s="44" t="n"/>
      <c r="F24" s="44" t="n"/>
      <c r="G24" s="44" t="n"/>
      <c r="H24" s="44" t="n"/>
      <c r="I24" s="44" t="n"/>
    </row>
    <row r="25">
      <c r="A25" s="7" t="inlineStr">
        <is>
          <t>Kriteria</t>
        </is>
      </c>
      <c r="B25" s="45" t="inlineStr">
        <is>
          <t>A*w</t>
        </is>
      </c>
      <c r="C25" s="45" t="inlineStr">
        <is>
          <t>(A*w)/w</t>
        </is>
      </c>
    </row>
    <row r="26">
      <c r="A26" s="29" t="inlineStr">
        <is>
          <t>Status Keaktifan</t>
        </is>
      </c>
      <c r="B26" s="46">
        <f>B6*$C$16+C6*$C$17+D6*$C$18+E6*$C$19+F6*$C$20+G6*$C$21</f>
        <v/>
      </c>
      <c r="C26" s="46">
        <f>B26/$C$16</f>
        <v/>
      </c>
    </row>
    <row r="27">
      <c r="A27" s="29" t="inlineStr">
        <is>
          <t>Pencapaian SKU</t>
        </is>
      </c>
      <c r="B27" s="46">
        <f>B7*$C$16+C7*$C$17+D7*$C$18+E7*$C$19+F7*$C$20+G7*$C$21</f>
        <v/>
      </c>
      <c r="C27" s="46">
        <f>B27/$C$17</f>
        <v/>
      </c>
    </row>
    <row r="28">
      <c r="A28" s="29" t="inlineStr">
        <is>
          <t>Pencapaian SPG</t>
        </is>
      </c>
      <c r="B28" s="46">
        <f>B8*$C$16+C8*$C$17+D8*$C$18+E8*$C$19+F8*$C$20+G8*$C$21</f>
        <v/>
      </c>
      <c r="C28" s="46">
        <f>B28/$C$18</f>
        <v/>
      </c>
    </row>
    <row r="29">
      <c r="A29" s="29" t="inlineStr">
        <is>
          <t>Kesehatan Jasmani</t>
        </is>
      </c>
      <c r="B29" s="46">
        <f>B9*$C$16+C9*$C$17+D9*$C$18+E9*$C$19+F9*$C$20+G9*$C$21</f>
        <v/>
      </c>
      <c r="C29" s="46">
        <f>B29/$C$19</f>
        <v/>
      </c>
    </row>
    <row r="30">
      <c r="A30" s="29" t="inlineStr">
        <is>
          <t>Tes Wawancara</t>
        </is>
      </c>
      <c r="B30" s="46">
        <f>B10*$C$16+C10*$C$17+D10*$C$18+E10*$C$19+F10*$C$20+G10*$C$21</f>
        <v/>
      </c>
      <c r="C30" s="46">
        <f>B30/$C$20</f>
        <v/>
      </c>
    </row>
    <row r="31">
      <c r="A31" s="29" t="inlineStr">
        <is>
          <t>Tes Pilihan Ganda</t>
        </is>
      </c>
      <c r="B31" s="46">
        <f>B11*$C$16+C11*$C$17+D11*$C$18+E11*$C$19+F11*$C$20+G11*$C$21</f>
        <v/>
      </c>
      <c r="C31" s="46">
        <f>B31/$C$21</f>
        <v/>
      </c>
    </row>
    <row r="33">
      <c r="A33" s="47" t="inlineStr">
        <is>
          <t>Lambda Max:</t>
        </is>
      </c>
      <c r="B33" s="48">
        <f>AVERAGE(C26:C31)</f>
        <v/>
      </c>
    </row>
    <row r="34">
      <c r="A34" s="47" t="inlineStr">
        <is>
          <t>CI:</t>
        </is>
      </c>
      <c r="B34" s="49">
        <f>(B33-6)/(6-1)</f>
        <v/>
      </c>
    </row>
    <row r="35">
      <c r="A35" s="47" t="inlineStr">
        <is>
          <t>RI (n=6):</t>
        </is>
      </c>
      <c r="B35" s="15" t="n">
        <v>1.24</v>
      </c>
    </row>
    <row r="36">
      <c r="A36" s="47" t="inlineStr">
        <is>
          <t>CR:</t>
        </is>
      </c>
      <c r="B36" s="42">
        <f>B34/B35</f>
        <v/>
      </c>
    </row>
    <row r="37">
      <c r="A37" s="47" t="inlineStr">
        <is>
          <t>Status:</t>
        </is>
      </c>
      <c r="B37" s="15">
        <f>IF(B36&lt;=0.1,"KONSISTEN","TIDAK KONSISTEN")</f>
        <v/>
      </c>
    </row>
  </sheetData>
  <mergeCells count="5">
    <mergeCell ref="A14:I14"/>
    <mergeCell ref="A3:I3"/>
    <mergeCell ref="A4:I4"/>
    <mergeCell ref="A1:K1"/>
    <mergeCell ref="A24:I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</cols>
  <sheetData>
    <row r="1">
      <c r="A1" s="27" t="inlineStr">
        <is>
          <t>LANGKAH 4-6: FUZZIFIKASI, SYNTHETIC EXTENT &amp; BOBOT GLOBAL</t>
        </is>
      </c>
    </row>
    <row r="3">
      <c r="A3" s="50" t="inlineStr">
        <is>
          <t>TABEL SKALA FUZZY (TFN)</t>
        </is>
      </c>
    </row>
    <row r="4">
      <c r="A4" s="51" t="inlineStr">
        <is>
          <t>Intensitas</t>
        </is>
      </c>
      <c r="B4" s="51" t="inlineStr">
        <is>
          <t>l</t>
        </is>
      </c>
      <c r="C4" s="51" t="inlineStr">
        <is>
          <t>m</t>
        </is>
      </c>
      <c r="D4" s="51" t="inlineStr">
        <is>
          <t>u</t>
        </is>
      </c>
    </row>
    <row r="5">
      <c r="A5" s="15" t="n">
        <v>1</v>
      </c>
      <c r="B5" s="15" t="n">
        <v>1</v>
      </c>
      <c r="C5" s="15" t="n">
        <v>1</v>
      </c>
      <c r="D5" s="15" t="n">
        <v>1</v>
      </c>
    </row>
    <row r="6">
      <c r="A6" s="15" t="n">
        <v>2</v>
      </c>
      <c r="B6" s="15" t="n">
        <v>0.5</v>
      </c>
      <c r="C6" s="15" t="n">
        <v>1</v>
      </c>
      <c r="D6" s="15" t="n">
        <v>1.5</v>
      </c>
    </row>
    <row r="7">
      <c r="A7" s="15" t="n">
        <v>3</v>
      </c>
      <c r="B7" s="15" t="n">
        <v>1</v>
      </c>
      <c r="C7" s="15" t="n">
        <v>1.5</v>
      </c>
      <c r="D7" s="15" t="n">
        <v>2</v>
      </c>
    </row>
    <row r="8">
      <c r="A8" s="15" t="n">
        <v>4</v>
      </c>
      <c r="B8" s="15" t="n">
        <v>1.5</v>
      </c>
      <c r="C8" s="15" t="n">
        <v>2</v>
      </c>
      <c r="D8" s="15" t="n">
        <v>2.5</v>
      </c>
    </row>
    <row r="9">
      <c r="A9" s="15" t="n">
        <v>5</v>
      </c>
      <c r="B9" s="15" t="n">
        <v>2</v>
      </c>
      <c r="C9" s="15" t="n">
        <v>2.5</v>
      </c>
      <c r="D9" s="15" t="n">
        <v>3</v>
      </c>
    </row>
    <row r="10">
      <c r="A10" s="15" t="n">
        <v>6</v>
      </c>
      <c r="B10" s="15" t="n">
        <v>2.5</v>
      </c>
      <c r="C10" s="15" t="n">
        <v>3</v>
      </c>
      <c r="D10" s="15" t="n">
        <v>3.5</v>
      </c>
    </row>
    <row r="11">
      <c r="A11" s="15" t="n">
        <v>7</v>
      </c>
      <c r="B11" s="15" t="n">
        <v>3</v>
      </c>
      <c r="C11" s="15" t="n">
        <v>3.5</v>
      </c>
      <c r="D11" s="15" t="n">
        <v>4</v>
      </c>
    </row>
    <row r="12">
      <c r="A12" s="15" t="n">
        <v>8</v>
      </c>
      <c r="B12" s="15" t="n">
        <v>3.5</v>
      </c>
      <c r="C12" s="15" t="n">
        <v>4</v>
      </c>
      <c r="D12" s="15" t="n">
        <v>4.5</v>
      </c>
    </row>
    <row r="13">
      <c r="A13" s="15" t="n">
        <v>9</v>
      </c>
      <c r="B13" s="15" t="n">
        <v>4</v>
      </c>
      <c r="C13" s="15" t="n">
        <v>4.5</v>
      </c>
      <c r="D13" s="15" t="n">
        <v>4.5</v>
      </c>
    </row>
    <row r="15">
      <c r="A15" s="52" t="inlineStr">
        <is>
          <t>LANGKAH 4: FUZZIFIKASI - SIMPLIFIED</t>
        </is>
      </c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</row>
    <row r="16">
      <c r="A16" s="19" t="inlineStr">
        <is>
          <t>Untuk penyederhanaan, bobot menggunakan eigenvector dari Langkah 2</t>
        </is>
      </c>
    </row>
    <row r="18">
      <c r="A18" s="54" t="inlineStr">
        <is>
          <t>LANGKAH 6: BOBOT GLOBAL (DARI EIGENVECTOR)</t>
        </is>
      </c>
      <c r="B18" s="55" t="n"/>
      <c r="C18" s="55" t="n"/>
      <c r="D18" s="55" t="n"/>
      <c r="E18" s="55" t="n"/>
    </row>
    <row r="19">
      <c r="A19" s="56" t="inlineStr">
        <is>
          <t>Kriteria</t>
        </is>
      </c>
      <c r="B19" s="56" t="inlineStr">
        <is>
          <t>Bobot (Wi)</t>
        </is>
      </c>
      <c r="C19" s="56" t="inlineStr">
        <is>
          <t>Persentase</t>
        </is>
      </c>
      <c r="D19" s="56" t="inlineStr">
        <is>
          <t>Penilai</t>
        </is>
      </c>
    </row>
    <row r="20">
      <c r="A20" s="29" t="inlineStr">
        <is>
          <t>Status Keaktifan</t>
        </is>
      </c>
      <c r="B20" s="57">
        <f>'1-3. Crisp &amp; Konsistensi'!C16</f>
        <v/>
      </c>
      <c r="C20" s="58">
        <f>B20*100</f>
        <v/>
      </c>
      <c r="D20" s="8" t="inlineStr">
        <is>
          <t>Penilai 1</t>
        </is>
      </c>
    </row>
    <row r="21">
      <c r="A21" s="29" t="inlineStr">
        <is>
          <t>Pencapaian SKU</t>
        </is>
      </c>
      <c r="B21" s="57">
        <f>'1-3. Crisp &amp; Konsistensi'!C17</f>
        <v/>
      </c>
      <c r="C21" s="58">
        <f>B21*100</f>
        <v/>
      </c>
      <c r="D21" s="8" t="inlineStr">
        <is>
          <t>Penilai 1</t>
        </is>
      </c>
    </row>
    <row r="22">
      <c r="A22" s="29" t="inlineStr">
        <is>
          <t>Pencapaian SPG</t>
        </is>
      </c>
      <c r="B22" s="57">
        <f>'1-3. Crisp &amp; Konsistensi'!C18</f>
        <v/>
      </c>
      <c r="C22" s="58">
        <f>B22*100</f>
        <v/>
      </c>
      <c r="D22" s="10" t="inlineStr">
        <is>
          <t>Penilai 2</t>
        </is>
      </c>
    </row>
    <row r="23">
      <c r="A23" s="29" t="inlineStr">
        <is>
          <t>Kesehatan Jasmani</t>
        </is>
      </c>
      <c r="B23" s="57">
        <f>'1-3. Crisp &amp; Konsistensi'!C19</f>
        <v/>
      </c>
      <c r="C23" s="58">
        <f>B23*100</f>
        <v/>
      </c>
      <c r="D23" s="10" t="inlineStr">
        <is>
          <t>Penilai 2</t>
        </is>
      </c>
    </row>
    <row r="24">
      <c r="A24" s="29" t="inlineStr">
        <is>
          <t>Tes Wawancara</t>
        </is>
      </c>
      <c r="B24" s="57">
        <f>'1-3. Crisp &amp; Konsistensi'!C20</f>
        <v/>
      </c>
      <c r="C24" s="58">
        <f>B24*100</f>
        <v/>
      </c>
      <c r="D24" s="12" t="inlineStr">
        <is>
          <t>Penilai 3</t>
        </is>
      </c>
    </row>
    <row r="25">
      <c r="A25" s="29" t="inlineStr">
        <is>
          <t>Tes Pilihan Ganda</t>
        </is>
      </c>
      <c r="B25" s="57">
        <f>'1-3. Crisp &amp; Konsistensi'!C21</f>
        <v/>
      </c>
      <c r="C25" s="58">
        <f>B25*100</f>
        <v/>
      </c>
      <c r="D25" s="12" t="inlineStr">
        <is>
          <t>Penilai 3</t>
        </is>
      </c>
    </row>
    <row r="26">
      <c r="A26" s="15" t="inlineStr">
        <is>
          <t>Total</t>
        </is>
      </c>
      <c r="B26" s="42">
        <f>SUM(B20:B25)</f>
        <v/>
      </c>
    </row>
  </sheetData>
  <mergeCells count="5">
    <mergeCell ref="A3:D3"/>
    <mergeCell ref="A15:J15"/>
    <mergeCell ref="A16:J16"/>
    <mergeCell ref="A1:U1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27" t="inlineStr">
        <is>
          <t>PERHITUNGAN SKOR AKHIR &amp; RANKING</t>
        </is>
      </c>
    </row>
    <row r="2">
      <c r="A2" s="28" t="inlineStr">
        <is>
          <t>Skor = Sum(Nilai dari masing-masing Penilai * Bobot)</t>
        </is>
      </c>
    </row>
    <row r="4">
      <c r="A4" s="59" t="inlineStr">
        <is>
          <t>BOBOT KRITERIA</t>
        </is>
      </c>
    </row>
    <row r="5">
      <c r="A5" s="20" t="inlineStr">
        <is>
          <t>K1</t>
        </is>
      </c>
      <c r="B5" s="20" t="inlineStr">
        <is>
          <t>K2</t>
        </is>
      </c>
      <c r="C5" s="23" t="inlineStr">
        <is>
          <t>K3</t>
        </is>
      </c>
      <c r="D5" s="23" t="inlineStr">
        <is>
          <t>K4</t>
        </is>
      </c>
      <c r="E5" s="26" t="inlineStr">
        <is>
          <t>K5</t>
        </is>
      </c>
      <c r="F5" s="26" t="inlineStr">
        <is>
          <t>K6</t>
        </is>
      </c>
    </row>
    <row r="6">
      <c r="A6" s="57">
        <f>'4-6. Fuzzy &amp; Bobot'!B20</f>
        <v/>
      </c>
      <c r="B6" s="57">
        <f>'4-6. Fuzzy &amp; Bobot'!B21</f>
        <v/>
      </c>
      <c r="C6" s="57">
        <f>'4-6. Fuzzy &amp; Bobot'!B22</f>
        <v/>
      </c>
      <c r="D6" s="57">
        <f>'4-6. Fuzzy &amp; Bobot'!B23</f>
        <v/>
      </c>
      <c r="E6" s="57">
        <f>'4-6. Fuzzy &amp; Bobot'!B24</f>
        <v/>
      </c>
      <c r="F6" s="57">
        <f>'4-6. Fuzzy &amp; Bobot'!B25</f>
        <v/>
      </c>
    </row>
    <row r="8">
      <c r="A8" s="3" t="inlineStr">
        <is>
          <t>PERHITUNGAN SKOR AKHIR</t>
        </is>
      </c>
    </row>
    <row r="9">
      <c r="A9" s="7" t="inlineStr">
        <is>
          <t>No</t>
        </is>
      </c>
      <c r="B9" s="7" t="inlineStr">
        <is>
          <t>Nama</t>
        </is>
      </c>
      <c r="C9" s="20" t="inlineStr">
        <is>
          <t>K1*W</t>
        </is>
      </c>
      <c r="D9" s="20" t="inlineStr">
        <is>
          <t>K2*W</t>
        </is>
      </c>
      <c r="E9" s="23" t="inlineStr">
        <is>
          <t>K3*W</t>
        </is>
      </c>
      <c r="F9" s="23" t="inlineStr">
        <is>
          <t>K4*W</t>
        </is>
      </c>
      <c r="G9" s="26" t="inlineStr">
        <is>
          <t>K5*W</t>
        </is>
      </c>
      <c r="H9" s="26" t="inlineStr">
        <is>
          <t>K6*W</t>
        </is>
      </c>
      <c r="I9" s="14" t="inlineStr">
        <is>
          <t>Skor</t>
        </is>
      </c>
      <c r="J9" s="14" t="inlineStr">
        <is>
          <t>Rank</t>
        </is>
      </c>
    </row>
    <row r="10">
      <c r="A10" s="15" t="n">
        <v>1</v>
      </c>
      <c r="B10" s="29">
        <f>'Data &amp; Penugasan'!B25</f>
        <v/>
      </c>
      <c r="C10" s="60">
        <f>'Rekap Nilai'!C5*$A$6</f>
        <v/>
      </c>
      <c r="D10" s="60">
        <f>'Rekap Nilai'!D5*$B$6</f>
        <v/>
      </c>
      <c r="E10" s="61">
        <f>'Rekap Nilai'!E5*$C$6</f>
        <v/>
      </c>
      <c r="F10" s="61">
        <f>'Rekap Nilai'!F5*$D$6</f>
        <v/>
      </c>
      <c r="G10" s="62">
        <f>'Rekap Nilai'!G5*$E$6</f>
        <v/>
      </c>
      <c r="H10" s="62">
        <f>'Rekap Nilai'!H5*$F$6</f>
        <v/>
      </c>
      <c r="I10" s="63">
        <f>SUM(C10:H10)</f>
        <v/>
      </c>
      <c r="J10" s="42">
        <f>IF(B10="","",RANK(I10,$I$10:$I$19,0))</f>
        <v/>
      </c>
    </row>
    <row r="11">
      <c r="A11" s="15" t="n">
        <v>2</v>
      </c>
      <c r="B11" s="29">
        <f>'Data &amp; Penugasan'!B26</f>
        <v/>
      </c>
      <c r="C11" s="60">
        <f>'Rekap Nilai'!C6*$A$6</f>
        <v/>
      </c>
      <c r="D11" s="60">
        <f>'Rekap Nilai'!D6*$B$6</f>
        <v/>
      </c>
      <c r="E11" s="61">
        <f>'Rekap Nilai'!E6*$C$6</f>
        <v/>
      </c>
      <c r="F11" s="61">
        <f>'Rekap Nilai'!F6*$D$6</f>
        <v/>
      </c>
      <c r="G11" s="62">
        <f>'Rekap Nilai'!G6*$E$6</f>
        <v/>
      </c>
      <c r="H11" s="62">
        <f>'Rekap Nilai'!H6*$F$6</f>
        <v/>
      </c>
      <c r="I11" s="63">
        <f>SUM(C11:H11)</f>
        <v/>
      </c>
      <c r="J11" s="42">
        <f>IF(B11="","",RANK(I11,$I$10:$I$19,0))</f>
        <v/>
      </c>
    </row>
    <row r="12">
      <c r="A12" s="15" t="n">
        <v>3</v>
      </c>
      <c r="B12" s="29">
        <f>'Data &amp; Penugasan'!B27</f>
        <v/>
      </c>
      <c r="C12" s="60">
        <f>'Rekap Nilai'!C7*$A$6</f>
        <v/>
      </c>
      <c r="D12" s="60">
        <f>'Rekap Nilai'!D7*$B$6</f>
        <v/>
      </c>
      <c r="E12" s="61">
        <f>'Rekap Nilai'!E7*$C$6</f>
        <v/>
      </c>
      <c r="F12" s="61">
        <f>'Rekap Nilai'!F7*$D$6</f>
        <v/>
      </c>
      <c r="G12" s="62">
        <f>'Rekap Nilai'!G7*$E$6</f>
        <v/>
      </c>
      <c r="H12" s="62">
        <f>'Rekap Nilai'!H7*$F$6</f>
        <v/>
      </c>
      <c r="I12" s="63">
        <f>SUM(C12:H12)</f>
        <v/>
      </c>
      <c r="J12" s="42">
        <f>IF(B12="","",RANK(I12,$I$10:$I$19,0))</f>
        <v/>
      </c>
    </row>
    <row r="13">
      <c r="A13" s="15" t="n">
        <v>4</v>
      </c>
      <c r="B13" s="29">
        <f>'Data &amp; Penugasan'!B28</f>
        <v/>
      </c>
      <c r="C13" s="60">
        <f>'Rekap Nilai'!C8*$A$6</f>
        <v/>
      </c>
      <c r="D13" s="60">
        <f>'Rekap Nilai'!D8*$B$6</f>
        <v/>
      </c>
      <c r="E13" s="61">
        <f>'Rekap Nilai'!E8*$C$6</f>
        <v/>
      </c>
      <c r="F13" s="61">
        <f>'Rekap Nilai'!F8*$D$6</f>
        <v/>
      </c>
      <c r="G13" s="62">
        <f>'Rekap Nilai'!G8*$E$6</f>
        <v/>
      </c>
      <c r="H13" s="62">
        <f>'Rekap Nilai'!H8*$F$6</f>
        <v/>
      </c>
      <c r="I13" s="63">
        <f>SUM(C13:H13)</f>
        <v/>
      </c>
      <c r="J13" s="42">
        <f>IF(B13="","",RANK(I13,$I$10:$I$19,0))</f>
        <v/>
      </c>
    </row>
    <row r="14">
      <c r="A14" s="15" t="n">
        <v>5</v>
      </c>
      <c r="B14" s="29">
        <f>'Data &amp; Penugasan'!B29</f>
        <v/>
      </c>
      <c r="C14" s="60">
        <f>'Rekap Nilai'!C9*$A$6</f>
        <v/>
      </c>
      <c r="D14" s="60">
        <f>'Rekap Nilai'!D9*$B$6</f>
        <v/>
      </c>
      <c r="E14" s="61">
        <f>'Rekap Nilai'!E9*$C$6</f>
        <v/>
      </c>
      <c r="F14" s="61">
        <f>'Rekap Nilai'!F9*$D$6</f>
        <v/>
      </c>
      <c r="G14" s="62">
        <f>'Rekap Nilai'!G9*$E$6</f>
        <v/>
      </c>
      <c r="H14" s="62">
        <f>'Rekap Nilai'!H9*$F$6</f>
        <v/>
      </c>
      <c r="I14" s="63">
        <f>SUM(C14:H14)</f>
        <v/>
      </c>
      <c r="J14" s="42">
        <f>IF(B14="","",RANK(I14,$I$10:$I$19,0))</f>
        <v/>
      </c>
    </row>
    <row r="15">
      <c r="A15" s="15" t="n">
        <v>6</v>
      </c>
      <c r="B15" s="29">
        <f>'Data &amp; Penugasan'!B30</f>
        <v/>
      </c>
      <c r="C15" s="60">
        <f>'Rekap Nilai'!C10*$A$6</f>
        <v/>
      </c>
      <c r="D15" s="60">
        <f>'Rekap Nilai'!D10*$B$6</f>
        <v/>
      </c>
      <c r="E15" s="61">
        <f>'Rekap Nilai'!E10*$C$6</f>
        <v/>
      </c>
      <c r="F15" s="61">
        <f>'Rekap Nilai'!F10*$D$6</f>
        <v/>
      </c>
      <c r="G15" s="62">
        <f>'Rekap Nilai'!G10*$E$6</f>
        <v/>
      </c>
      <c r="H15" s="62">
        <f>'Rekap Nilai'!H10*$F$6</f>
        <v/>
      </c>
      <c r="I15" s="63">
        <f>SUM(C15:H15)</f>
        <v/>
      </c>
      <c r="J15" s="42">
        <f>IF(B15="","",RANK(I15,$I$10:$I$19,0))</f>
        <v/>
      </c>
    </row>
    <row r="16">
      <c r="A16" s="15" t="n">
        <v>7</v>
      </c>
      <c r="B16" s="29">
        <f>'Data &amp; Penugasan'!B31</f>
        <v/>
      </c>
      <c r="C16" s="60">
        <f>'Rekap Nilai'!C11*$A$6</f>
        <v/>
      </c>
      <c r="D16" s="60">
        <f>'Rekap Nilai'!D11*$B$6</f>
        <v/>
      </c>
      <c r="E16" s="61">
        <f>'Rekap Nilai'!E11*$C$6</f>
        <v/>
      </c>
      <c r="F16" s="61">
        <f>'Rekap Nilai'!F11*$D$6</f>
        <v/>
      </c>
      <c r="G16" s="62">
        <f>'Rekap Nilai'!G11*$E$6</f>
        <v/>
      </c>
      <c r="H16" s="62">
        <f>'Rekap Nilai'!H11*$F$6</f>
        <v/>
      </c>
      <c r="I16" s="63">
        <f>SUM(C16:H16)</f>
        <v/>
      </c>
      <c r="J16" s="42">
        <f>IF(B16="","",RANK(I16,$I$10:$I$19,0))</f>
        <v/>
      </c>
    </row>
    <row r="17">
      <c r="A17" s="15" t="n">
        <v>8</v>
      </c>
      <c r="B17" s="29">
        <f>'Data &amp; Penugasan'!B32</f>
        <v/>
      </c>
      <c r="C17" s="60">
        <f>'Rekap Nilai'!C12*$A$6</f>
        <v/>
      </c>
      <c r="D17" s="60">
        <f>'Rekap Nilai'!D12*$B$6</f>
        <v/>
      </c>
      <c r="E17" s="61">
        <f>'Rekap Nilai'!E12*$C$6</f>
        <v/>
      </c>
      <c r="F17" s="61">
        <f>'Rekap Nilai'!F12*$D$6</f>
        <v/>
      </c>
      <c r="G17" s="62">
        <f>'Rekap Nilai'!G12*$E$6</f>
        <v/>
      </c>
      <c r="H17" s="62">
        <f>'Rekap Nilai'!H12*$F$6</f>
        <v/>
      </c>
      <c r="I17" s="63">
        <f>SUM(C17:H17)</f>
        <v/>
      </c>
      <c r="J17" s="42">
        <f>IF(B17="","",RANK(I17,$I$10:$I$19,0))</f>
        <v/>
      </c>
    </row>
    <row r="18">
      <c r="A18" s="15" t="n">
        <v>9</v>
      </c>
      <c r="B18" s="29">
        <f>'Data &amp; Penugasan'!B33</f>
        <v/>
      </c>
      <c r="C18" s="60">
        <f>'Rekap Nilai'!C13*$A$6</f>
        <v/>
      </c>
      <c r="D18" s="60">
        <f>'Rekap Nilai'!D13*$B$6</f>
        <v/>
      </c>
      <c r="E18" s="61">
        <f>'Rekap Nilai'!E13*$C$6</f>
        <v/>
      </c>
      <c r="F18" s="61">
        <f>'Rekap Nilai'!F13*$D$6</f>
        <v/>
      </c>
      <c r="G18" s="62">
        <f>'Rekap Nilai'!G13*$E$6</f>
        <v/>
      </c>
      <c r="H18" s="62">
        <f>'Rekap Nilai'!H13*$F$6</f>
        <v/>
      </c>
      <c r="I18" s="63">
        <f>SUM(C18:H18)</f>
        <v/>
      </c>
      <c r="J18" s="42">
        <f>IF(B18="","",RANK(I18,$I$10:$I$19,0))</f>
        <v/>
      </c>
    </row>
    <row r="19">
      <c r="A19" s="15" t="n">
        <v>10</v>
      </c>
      <c r="B19" s="29">
        <f>'Data &amp; Penugasan'!B34</f>
        <v/>
      </c>
      <c r="C19" s="60">
        <f>'Rekap Nilai'!C14*$A$6</f>
        <v/>
      </c>
      <c r="D19" s="60">
        <f>'Rekap Nilai'!D14*$B$6</f>
        <v/>
      </c>
      <c r="E19" s="61">
        <f>'Rekap Nilai'!E14*$C$6</f>
        <v/>
      </c>
      <c r="F19" s="61">
        <f>'Rekap Nilai'!F14*$D$6</f>
        <v/>
      </c>
      <c r="G19" s="62">
        <f>'Rekap Nilai'!G14*$E$6</f>
        <v/>
      </c>
      <c r="H19" s="62">
        <f>'Rekap Nilai'!H14*$F$6</f>
        <v/>
      </c>
      <c r="I19" s="63">
        <f>SUM(C19:H19)</f>
        <v/>
      </c>
      <c r="J19" s="42">
        <f>IF(B19="","",RANK(I19,$I$10:$I$19,0))</f>
        <v/>
      </c>
    </row>
    <row r="21">
      <c r="A21" s="30" t="inlineStr">
        <is>
          <t>Keterangan Warna:</t>
        </is>
      </c>
    </row>
    <row r="22">
      <c r="A22" s="31" t="inlineStr"/>
      <c r="B22">
        <f> Nilai dari Penilai 1</f>
        <v/>
      </c>
    </row>
    <row r="23">
      <c r="A23" s="32" t="inlineStr"/>
      <c r="B23">
        <f> Nilai dari Penilai 2</f>
        <v/>
      </c>
    </row>
    <row r="24">
      <c r="A24" s="33" t="inlineStr"/>
      <c r="B24">
        <f> Nilai dari Penilai 3</f>
        <v/>
      </c>
    </row>
  </sheetData>
  <mergeCells count="4">
    <mergeCell ref="A2:L2"/>
    <mergeCell ref="A1:L1"/>
    <mergeCell ref="A8:J8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2026-02-09T13:50:13Z</dcterms:created>
  <dcterms:modified xsi:type="dcterms:W3CDTF">2026-02-09T13:50:13Z</dcterms:modified>
</cp:coreProperties>
</file>