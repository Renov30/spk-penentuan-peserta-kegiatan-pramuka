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zzy AHP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FF0000"/>
      <sz val="10"/>
    </font>
    <font>
      <b val="1"/>
    </font>
    <font>
      <b val="1"/>
      <color rgb="00FFFFFF"/>
      <sz val="12"/>
    </font>
    <font>
      <i val="1"/>
      <color rgb="00666666"/>
      <sz val="9"/>
    </font>
    <font>
      <b val="1"/>
      <color rgb="00FFFFFF"/>
      <sz val="11"/>
    </font>
    <font>
      <b val="1"/>
      <sz val="10"/>
    </font>
    <font>
      <sz val="10"/>
    </font>
    <font>
      <color rgb="000000FF"/>
      <sz val="11"/>
    </font>
    <font>
      <b val="1"/>
      <color rgb="001F4E79"/>
      <sz val="11"/>
    </font>
    <font>
      <b val="1"/>
      <color rgb="00ED7D31"/>
      <sz val="14"/>
    </font>
    <font>
      <i val="1"/>
      <color rgb="00808080"/>
      <sz val="10"/>
    </font>
    <font>
      <b val="1"/>
      <sz val="12"/>
    </font>
    <font>
      <b val="1"/>
      <sz val="14"/>
    </font>
    <font>
      <b val="1"/>
      <sz val="11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8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0" fillId="0" borderId="4" pivotButton="0" quotePrefix="0" xfId="0"/>
    <xf numFmtId="0" fontId="6" fillId="8" borderId="1" applyAlignment="1" pivotButton="0" quotePrefix="0" xfId="0">
      <alignment horizontal="center" vertical="center" wrapText="1"/>
    </xf>
    <xf numFmtId="0" fontId="16" fillId="6" borderId="1" pivotButton="0" quotePrefix="0" xfId="0"/>
    <xf numFmtId="2" fontId="8" fillId="0" borderId="1" applyAlignment="1" pivotButton="0" quotePrefix="0" xfId="0">
      <alignment horizontal="center" vertical="center" wrapText="1"/>
    </xf>
    <xf numFmtId="2" fontId="8" fillId="7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>
      <c r="A1" s="1" t="inlineStr">
        <is>
          <t>MODEL PERHITUNGAN FUZZY AHP - DENGAN RUMUS EXCEL</t>
        </is>
      </c>
    </row>
    <row r="2">
      <c r="A2" s="2" t="inlineStr">
        <is>
          <t>Sel berwarna KUNING adalah INPUT yang dapat diubah.</t>
        </is>
      </c>
    </row>
    <row r="4">
      <c r="A4" t="inlineStr">
        <is>
          <t>Nama Peserta:</t>
        </is>
      </c>
      <c r="B4" s="3" t="inlineStr">
        <is>
          <t>David Kulian</t>
        </is>
      </c>
    </row>
    <row r="6">
      <c r="A6" s="4" t="inlineStr">
        <is>
          <t>LANGKAH 1: MATRIKS PERBANDINGAN BERPASANGAN (CRISP)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6" t="inlineStr">
        <is>
          <t>Masukkan nilai perbandingan (1-9) di sel KUNING. Diagonal selalu 1.</t>
        </is>
      </c>
    </row>
    <row r="8">
      <c r="A8" s="7" t="inlineStr">
        <is>
          <t>Kriteria</t>
        </is>
      </c>
      <c r="B8" s="7" t="inlineStr">
        <is>
          <t>Status Keaktifan</t>
        </is>
      </c>
      <c r="C8" s="7" t="inlineStr">
        <is>
          <t>Pencapaian SKU</t>
        </is>
      </c>
      <c r="D8" s="7" t="inlineStr">
        <is>
          <t>Pencapaian SPG</t>
        </is>
      </c>
      <c r="E8" s="7" t="inlineStr">
        <is>
          <t>Kesehatan Jasmani</t>
        </is>
      </c>
      <c r="F8" s="7" t="inlineStr">
        <is>
          <t>Tes Wawancara</t>
        </is>
      </c>
      <c r="G8" s="7" t="inlineStr">
        <is>
          <t>Tes Pilihan Ganda</t>
        </is>
      </c>
      <c r="H8" s="8" t="inlineStr">
        <is>
          <t>GM</t>
        </is>
      </c>
      <c r="I8" s="8" t="inlineStr">
        <is>
          <t>Wi (Bobot)</t>
        </is>
      </c>
    </row>
    <row r="9">
      <c r="A9" s="9" t="inlineStr">
        <is>
          <t>Status Keaktifan</t>
        </is>
      </c>
      <c r="B9" s="10" t="n">
        <v>1</v>
      </c>
      <c r="C9" s="11" t="n">
        <v>1</v>
      </c>
      <c r="D9" s="11" t="n">
        <v>1</v>
      </c>
      <c r="E9" s="11" t="n">
        <v>1</v>
      </c>
      <c r="F9" s="11" t="n">
        <v>1</v>
      </c>
      <c r="G9" s="11" t="n">
        <v>1</v>
      </c>
      <c r="H9" s="12">
        <f>(B9*C9*D9*E9*F9*G9)^(1/6)</f>
        <v/>
      </c>
      <c r="I9" s="12">
        <f>H9/$H$15</f>
        <v/>
      </c>
    </row>
    <row r="10">
      <c r="A10" s="9" t="inlineStr">
        <is>
          <t>Pencapaian SKU</t>
        </is>
      </c>
      <c r="B10" s="13">
        <f>1/C9</f>
        <v/>
      </c>
      <c r="C10" s="10" t="n">
        <v>1</v>
      </c>
      <c r="D10" s="11" t="n">
        <v>1</v>
      </c>
      <c r="E10" s="11" t="n">
        <v>1</v>
      </c>
      <c r="F10" s="11" t="n">
        <v>1</v>
      </c>
      <c r="G10" s="11" t="n">
        <v>1</v>
      </c>
      <c r="H10" s="12">
        <f>(B10*C10*D10*E10*F10*G10)^(1/6)</f>
        <v/>
      </c>
      <c r="I10" s="12">
        <f>H10/$H$15</f>
        <v/>
      </c>
    </row>
    <row r="11">
      <c r="A11" s="9" t="inlineStr">
        <is>
          <t>Pencapaian SPG</t>
        </is>
      </c>
      <c r="B11" s="13">
        <f>1/D9</f>
        <v/>
      </c>
      <c r="C11" s="13">
        <f>1/D10</f>
        <v/>
      </c>
      <c r="D11" s="10" t="n">
        <v>1</v>
      </c>
      <c r="E11" s="11" t="n">
        <v>1</v>
      </c>
      <c r="F11" s="11" t="n">
        <v>1</v>
      </c>
      <c r="G11" s="11" t="n">
        <v>1</v>
      </c>
      <c r="H11" s="12">
        <f>(B11*C11*D11*E11*F11*G11)^(1/6)</f>
        <v/>
      </c>
      <c r="I11" s="12">
        <f>H11/$H$15</f>
        <v/>
      </c>
    </row>
    <row r="12">
      <c r="A12" s="9" t="inlineStr">
        <is>
          <t>Kesehatan Jasmani</t>
        </is>
      </c>
      <c r="B12" s="13">
        <f>1/E9</f>
        <v/>
      </c>
      <c r="C12" s="13">
        <f>1/E10</f>
        <v/>
      </c>
      <c r="D12" s="13">
        <f>1/E11</f>
        <v/>
      </c>
      <c r="E12" s="10" t="n">
        <v>1</v>
      </c>
      <c r="F12" s="11" t="n">
        <v>1</v>
      </c>
      <c r="G12" s="11" t="n">
        <v>1</v>
      </c>
      <c r="H12" s="12">
        <f>(B12*C12*D12*E12*F12*G12)^(1/6)</f>
        <v/>
      </c>
      <c r="I12" s="12">
        <f>H12/$H$15</f>
        <v/>
      </c>
    </row>
    <row r="13">
      <c r="A13" s="9" t="inlineStr">
        <is>
          <t>Tes Wawancara</t>
        </is>
      </c>
      <c r="B13" s="13">
        <f>1/F9</f>
        <v/>
      </c>
      <c r="C13" s="13">
        <f>1/F10</f>
        <v/>
      </c>
      <c r="D13" s="13">
        <f>1/F11</f>
        <v/>
      </c>
      <c r="E13" s="13">
        <f>1/F12</f>
        <v/>
      </c>
      <c r="F13" s="10" t="n">
        <v>1</v>
      </c>
      <c r="G13" s="11" t="n">
        <v>1</v>
      </c>
      <c r="H13" s="12">
        <f>(B13*C13*D13*E13*F13*G13)^(1/6)</f>
        <v/>
      </c>
      <c r="I13" s="12">
        <f>H13/$H$15</f>
        <v/>
      </c>
    </row>
    <row r="14">
      <c r="A14" s="9" t="inlineStr">
        <is>
          <t>Tes Pilihan Ganda</t>
        </is>
      </c>
      <c r="B14" s="13">
        <f>1/G9</f>
        <v/>
      </c>
      <c r="C14" s="13">
        <f>1/G10</f>
        <v/>
      </c>
      <c r="D14" s="13">
        <f>1/G11</f>
        <v/>
      </c>
      <c r="E14" s="13">
        <f>1/G12</f>
        <v/>
      </c>
      <c r="F14" s="13">
        <f>1/G13</f>
        <v/>
      </c>
      <c r="G14" s="10" t="n">
        <v>1</v>
      </c>
      <c r="H14" s="12">
        <f>(B14*C14*D14*E14*F14*G14)^(1/6)</f>
        <v/>
      </c>
      <c r="I14" s="12">
        <f>H14/$H$15</f>
        <v/>
      </c>
    </row>
    <row r="15">
      <c r="G15" s="14" t="inlineStr">
        <is>
          <t>Total:</t>
        </is>
      </c>
      <c r="H15" s="15">
        <f>SUM(H9:H14)</f>
        <v/>
      </c>
      <c r="I15" s="15">
        <f>SUM(I9:I14)</f>
        <v/>
      </c>
    </row>
    <row r="17">
      <c r="A17" s="4" t="inlineStr">
        <is>
          <t>LANGKAH 2 &amp; 3: PERHITUNGAN LAMBDA MAX &amp; UJI KONSISTENSI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16" t="inlineStr">
        <is>
          <t>A*w = Matriks x Bobot (untuk setiap baris)</t>
        </is>
      </c>
    </row>
    <row r="19">
      <c r="A19" s="7" t="inlineStr">
        <is>
          <t>Kriteria</t>
        </is>
      </c>
      <c r="B19" s="7" t="inlineStr">
        <is>
          <t>A*w</t>
        </is>
      </c>
      <c r="C19" s="7" t="inlineStr">
        <is>
          <t>(A*w)/w</t>
        </is>
      </c>
    </row>
    <row r="20">
      <c r="A20" s="17" t="inlineStr">
        <is>
          <t>Status Keaktifan</t>
        </is>
      </c>
      <c r="B20" s="12">
        <f>B9*$I$9+C9*$I$10+D9*$I$11+E9*$I$12+F9*$I$13+G9*$I$14</f>
        <v/>
      </c>
      <c r="C20" s="12">
        <f>B20/$I$9</f>
        <v/>
      </c>
    </row>
    <row r="21">
      <c r="A21" s="17" t="inlineStr">
        <is>
          <t>Pencapaian SKU</t>
        </is>
      </c>
      <c r="B21" s="12">
        <f>B10*$I$9+C10*$I$10+D10*$I$11+E10*$I$12+F10*$I$13+G10*$I$14</f>
        <v/>
      </c>
      <c r="C21" s="12">
        <f>B21/$I$10</f>
        <v/>
      </c>
    </row>
    <row r="22">
      <c r="A22" s="17" t="inlineStr">
        <is>
          <t>Pencapaian SPG</t>
        </is>
      </c>
      <c r="B22" s="12">
        <f>B11*$I$9+C11*$I$10+D11*$I$11+E11*$I$12+F11*$I$13+G11*$I$14</f>
        <v/>
      </c>
      <c r="C22" s="12">
        <f>B22/$I$11</f>
        <v/>
      </c>
    </row>
    <row r="23">
      <c r="A23" s="17" t="inlineStr">
        <is>
          <t>Kesehatan Jasmani</t>
        </is>
      </c>
      <c r="B23" s="12">
        <f>B12*$I$9+C12*$I$10+D12*$I$11+E12*$I$12+F12*$I$13+G12*$I$14</f>
        <v/>
      </c>
      <c r="C23" s="12">
        <f>B23/$I$12</f>
        <v/>
      </c>
    </row>
    <row r="24">
      <c r="A24" s="17" t="inlineStr">
        <is>
          <t>Tes Wawancara</t>
        </is>
      </c>
      <c r="B24" s="12">
        <f>B13*$I$9+C13*$I$10+D13*$I$11+E13*$I$12+F13*$I$13+G13*$I$14</f>
        <v/>
      </c>
      <c r="C24" s="12">
        <f>B24/$I$13</f>
        <v/>
      </c>
    </row>
    <row r="25">
      <c r="A25" s="17" t="inlineStr">
        <is>
          <t>Tes Pilihan Ganda</t>
        </is>
      </c>
      <c r="B25" s="12">
        <f>B14*$I$9+C14*$I$10+D14*$I$11+E14*$I$12+F14*$I$13+G14*$I$14</f>
        <v/>
      </c>
      <c r="C25" s="12">
        <f>B25/$I$14</f>
        <v/>
      </c>
    </row>
    <row r="27">
      <c r="A27" s="16" t="inlineStr">
        <is>
          <t>Lambda Max (lmax):</t>
        </is>
      </c>
      <c r="B27" s="15">
        <f>AVERAGE(C20:C25)</f>
        <v/>
      </c>
      <c r="D27" s="18">
        <f> rata-rata (A*w)/w</f>
        <v/>
      </c>
    </row>
    <row r="28">
      <c r="A28" s="16" t="inlineStr">
        <is>
          <t>Consistency Index (CI):</t>
        </is>
      </c>
      <c r="B28" s="12">
        <f>($B$27-6)/(6-1)</f>
        <v/>
      </c>
      <c r="D28" s="18">
        <f> (lmax - 6) / (6 - 1)</f>
        <v/>
      </c>
    </row>
    <row r="29">
      <c r="A29" s="16" t="inlineStr">
        <is>
          <t>Random Index (RI):</t>
        </is>
      </c>
      <c r="B29" s="10" t="n">
        <v>1.24</v>
      </c>
      <c r="D29" s="18" t="inlineStr">
        <is>
          <t>Untuk n=6, RI = 1.24</t>
        </is>
      </c>
    </row>
    <row r="30">
      <c r="A30" s="16" t="inlineStr">
        <is>
          <t>Consistency Ratio (CR):</t>
        </is>
      </c>
      <c r="B30" s="15">
        <f>IF($B$29=0,0,$B$28/$B$29)</f>
        <v/>
      </c>
      <c r="D30" s="18">
        <f> CI / RI</f>
        <v/>
      </c>
    </row>
    <row r="31">
      <c r="A31" s="16" t="inlineStr">
        <is>
          <t>Status Konsistensi:</t>
        </is>
      </c>
      <c r="B31" s="10">
        <f>IF($B$30&lt;=0.1,"KONSISTEN","TIDAK KONSISTEN")</f>
        <v/>
      </c>
      <c r="C31" s="19" t="n"/>
    </row>
    <row r="33">
      <c r="A33" s="4" t="inlineStr">
        <is>
          <t>TABEL REFERENSI SKALA FUZZY (TFN)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7" t="inlineStr">
        <is>
          <t>Intensitas</t>
        </is>
      </c>
      <c r="B34" s="7" t="inlineStr">
        <is>
          <t>l</t>
        </is>
      </c>
      <c r="C34" s="7" t="inlineStr">
        <is>
          <t>m</t>
        </is>
      </c>
      <c r="D34" s="7" t="inlineStr">
        <is>
          <t>u</t>
        </is>
      </c>
      <c r="E34" s="7" t="inlineStr"/>
      <c r="F34" s="7" t="inlineStr">
        <is>
          <t>Kebalikan</t>
        </is>
      </c>
      <c r="G34" s="7" t="inlineStr">
        <is>
          <t>1/u</t>
        </is>
      </c>
      <c r="H34" s="7" t="inlineStr">
        <is>
          <t>1/m</t>
        </is>
      </c>
      <c r="I34" s="7" t="inlineStr">
        <is>
          <t>1/l</t>
        </is>
      </c>
    </row>
    <row r="35">
      <c r="A35" s="10" t="n">
        <v>1</v>
      </c>
      <c r="B35" s="10" t="n">
        <v>1</v>
      </c>
      <c r="C35" s="10" t="n">
        <v>1</v>
      </c>
      <c r="D35" s="10" t="n">
        <v>1</v>
      </c>
      <c r="E35" s="10" t="n"/>
      <c r="F35" s="10" t="n">
        <v>1</v>
      </c>
      <c r="G35" s="10" t="n">
        <v>1</v>
      </c>
      <c r="H35" s="10" t="n">
        <v>1</v>
      </c>
      <c r="I35" s="10" t="n">
        <v>1</v>
      </c>
    </row>
    <row r="36">
      <c r="A36" s="10" t="n">
        <v>2</v>
      </c>
      <c r="B36" s="10" t="n">
        <v>0.5</v>
      </c>
      <c r="C36" s="10" t="n">
        <v>1</v>
      </c>
      <c r="D36" s="10" t="n">
        <v>1.5</v>
      </c>
      <c r="E36" s="10" t="n"/>
      <c r="F36" s="10" t="n">
        <v>2</v>
      </c>
      <c r="G36" s="10" t="n">
        <v>0.6667</v>
      </c>
      <c r="H36" s="10" t="n">
        <v>1</v>
      </c>
      <c r="I36" s="10" t="n">
        <v>2</v>
      </c>
    </row>
    <row r="37">
      <c r="A37" s="10" t="n">
        <v>3</v>
      </c>
      <c r="B37" s="10" t="n">
        <v>1</v>
      </c>
      <c r="C37" s="10" t="n">
        <v>1.5</v>
      </c>
      <c r="D37" s="10" t="n">
        <v>2</v>
      </c>
      <c r="E37" s="10" t="n"/>
      <c r="F37" s="10" t="n">
        <v>3</v>
      </c>
      <c r="G37" s="10" t="n">
        <v>0.5</v>
      </c>
      <c r="H37" s="10" t="n">
        <v>0.6667</v>
      </c>
      <c r="I37" s="10" t="n">
        <v>1</v>
      </c>
    </row>
    <row r="38">
      <c r="A38" s="10" t="n">
        <v>4</v>
      </c>
      <c r="B38" s="10" t="n">
        <v>1.5</v>
      </c>
      <c r="C38" s="10" t="n">
        <v>2</v>
      </c>
      <c r="D38" s="10" t="n">
        <v>2.5</v>
      </c>
      <c r="E38" s="10" t="n"/>
      <c r="F38" s="10" t="n">
        <v>4</v>
      </c>
      <c r="G38" s="10" t="n">
        <v>0.4</v>
      </c>
      <c r="H38" s="10" t="n">
        <v>0.5</v>
      </c>
      <c r="I38" s="10" t="n">
        <v>0.6667</v>
      </c>
    </row>
    <row r="39">
      <c r="A39" s="10" t="n">
        <v>5</v>
      </c>
      <c r="B39" s="10" t="n">
        <v>2</v>
      </c>
      <c r="C39" s="10" t="n">
        <v>2.5</v>
      </c>
      <c r="D39" s="10" t="n">
        <v>3</v>
      </c>
      <c r="E39" s="10" t="n"/>
      <c r="F39" s="10" t="n">
        <v>5</v>
      </c>
      <c r="G39" s="10" t="n">
        <v>0.3333</v>
      </c>
      <c r="H39" s="10" t="n">
        <v>0.4</v>
      </c>
      <c r="I39" s="10" t="n">
        <v>0.5</v>
      </c>
    </row>
    <row r="40">
      <c r="A40" s="10" t="n">
        <v>6</v>
      </c>
      <c r="B40" s="10" t="n">
        <v>2.5</v>
      </c>
      <c r="C40" s="10" t="n">
        <v>3</v>
      </c>
      <c r="D40" s="10" t="n">
        <v>3.5</v>
      </c>
      <c r="E40" s="10" t="n"/>
      <c r="F40" s="10" t="n">
        <v>6</v>
      </c>
      <c r="G40" s="10" t="n">
        <v>0.2857</v>
      </c>
      <c r="H40" s="10" t="n">
        <v>0.3333</v>
      </c>
      <c r="I40" s="10" t="n">
        <v>0.4</v>
      </c>
    </row>
    <row r="41">
      <c r="A41" s="10" t="n">
        <v>7</v>
      </c>
      <c r="B41" s="10" t="n">
        <v>3</v>
      </c>
      <c r="C41" s="10" t="n">
        <v>3.5</v>
      </c>
      <c r="D41" s="10" t="n">
        <v>4</v>
      </c>
      <c r="E41" s="10" t="n"/>
      <c r="F41" s="10" t="n">
        <v>7</v>
      </c>
      <c r="G41" s="10" t="n">
        <v>0.25</v>
      </c>
      <c r="H41" s="10" t="n">
        <v>0.2857</v>
      </c>
      <c r="I41" s="10" t="n">
        <v>0.3333</v>
      </c>
    </row>
    <row r="42">
      <c r="A42" s="10" t="n">
        <v>8</v>
      </c>
      <c r="B42" s="10" t="n">
        <v>3.5</v>
      </c>
      <c r="C42" s="10" t="n">
        <v>4</v>
      </c>
      <c r="D42" s="10" t="n">
        <v>4.5</v>
      </c>
      <c r="E42" s="10" t="n"/>
      <c r="F42" s="10" t="n">
        <v>8</v>
      </c>
      <c r="G42" s="10" t="n">
        <v>0.2222</v>
      </c>
      <c r="H42" s="10" t="n">
        <v>0.25</v>
      </c>
      <c r="I42" s="10" t="n">
        <v>0.2857</v>
      </c>
    </row>
    <row r="43">
      <c r="A43" s="10" t="n">
        <v>9</v>
      </c>
      <c r="B43" s="10" t="n">
        <v>4</v>
      </c>
      <c r="C43" s="10" t="n">
        <v>4.5</v>
      </c>
      <c r="D43" s="10" t="n">
        <v>4.5</v>
      </c>
      <c r="E43" s="10" t="n"/>
      <c r="F43" s="10" t="n">
        <v>9</v>
      </c>
      <c r="G43" s="10" t="n">
        <v>0.2222</v>
      </c>
      <c r="H43" s="10" t="n">
        <v>0.2222</v>
      </c>
      <c r="I43" s="10" t="n">
        <v>0.25</v>
      </c>
    </row>
    <row r="45">
      <c r="A45" s="4" t="inlineStr">
        <is>
          <t>LANGKAH 4: FUZZIFIKASI MATRIKS (TFN)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>
      <c r="A46" s="6" t="inlineStr">
        <is>
          <t>Konversi otomatis berdasarkan nilai crisp</t>
        </is>
      </c>
    </row>
    <row r="47">
      <c r="A47" s="7" t="inlineStr">
        <is>
          <t>Kriteria</t>
        </is>
      </c>
      <c r="B47" s="7" t="inlineStr">
        <is>
          <t>Status Kea</t>
        </is>
      </c>
      <c r="E47" s="7" t="inlineStr">
        <is>
          <t>Pencapaian</t>
        </is>
      </c>
      <c r="H47" s="7" t="inlineStr">
        <is>
          <t>Pencapaian</t>
        </is>
      </c>
      <c r="K47" s="7" t="inlineStr">
        <is>
          <t xml:space="preserve">Kesehatan </t>
        </is>
      </c>
      <c r="N47" s="7" t="inlineStr">
        <is>
          <t>Tes Wawanc</t>
        </is>
      </c>
      <c r="Q47" s="7" t="inlineStr">
        <is>
          <t>Tes Piliha</t>
        </is>
      </c>
    </row>
    <row r="48">
      <c r="A48" s="20" t="inlineStr"/>
      <c r="B48" s="20" t="inlineStr">
        <is>
          <t>l</t>
        </is>
      </c>
      <c r="C48" s="20" t="inlineStr">
        <is>
          <t>m</t>
        </is>
      </c>
      <c r="D48" s="20" t="inlineStr">
        <is>
          <t>u</t>
        </is>
      </c>
      <c r="E48" s="20" t="inlineStr">
        <is>
          <t>l</t>
        </is>
      </c>
      <c r="F48" s="20" t="inlineStr">
        <is>
          <t>m</t>
        </is>
      </c>
      <c r="G48" s="20" t="inlineStr">
        <is>
          <t>u</t>
        </is>
      </c>
      <c r="H48" s="20" t="inlineStr">
        <is>
          <t>l</t>
        </is>
      </c>
      <c r="I48" s="20" t="inlineStr">
        <is>
          <t>m</t>
        </is>
      </c>
      <c r="J48" s="20" t="inlineStr">
        <is>
          <t>u</t>
        </is>
      </c>
      <c r="K48" s="20" t="inlineStr">
        <is>
          <t>l</t>
        </is>
      </c>
      <c r="L48" s="20" t="inlineStr">
        <is>
          <t>m</t>
        </is>
      </c>
      <c r="M48" s="20" t="inlineStr">
        <is>
          <t>u</t>
        </is>
      </c>
      <c r="N48" s="20" t="inlineStr">
        <is>
          <t>l</t>
        </is>
      </c>
      <c r="O48" s="20" t="inlineStr">
        <is>
          <t>m</t>
        </is>
      </c>
      <c r="P48" s="20" t="inlineStr">
        <is>
          <t>u</t>
        </is>
      </c>
      <c r="Q48" s="20" t="inlineStr">
        <is>
          <t>l</t>
        </is>
      </c>
      <c r="R48" s="20" t="inlineStr">
        <is>
          <t>m</t>
        </is>
      </c>
      <c r="S48" s="20" t="inlineStr">
        <is>
          <t>u</t>
        </is>
      </c>
    </row>
    <row r="49">
      <c r="A49" s="21" t="inlineStr">
        <is>
          <t>Status Keaktifan</t>
        </is>
      </c>
      <c r="B49" s="22">
        <f>INDEX($B$35:$B$43,MATCH(MAX(1,MIN(9,ROUND(ABS(B9),0))),$A$35:$A$43,0))</f>
        <v/>
      </c>
      <c r="C49" s="22">
        <f>INDEX($C$35:$C$43,MATCH(MAX(1,MIN(9,ROUND(ABS(B9),0))),$A$35:$A$43,0))</f>
        <v/>
      </c>
      <c r="D49" s="22">
        <f>INDEX($D$35:$D$43,MATCH(MAX(1,MIN(9,ROUND(ABS(B9),0))),$A$35:$A$43,0))</f>
        <v/>
      </c>
      <c r="E49" s="22">
        <f>INDEX($B$35:$B$43,MATCH(MAX(1,MIN(9,ROUND(ABS(C9),0))),$A$35:$A$43,0))</f>
        <v/>
      </c>
      <c r="F49" s="22">
        <f>INDEX($C$35:$C$43,MATCH(MAX(1,MIN(9,ROUND(ABS(C9),0))),$A$35:$A$43,0))</f>
        <v/>
      </c>
      <c r="G49" s="22">
        <f>INDEX($D$35:$D$43,MATCH(MAX(1,MIN(9,ROUND(ABS(C9),0))),$A$35:$A$43,0))</f>
        <v/>
      </c>
      <c r="H49" s="22">
        <f>INDEX($B$35:$B$43,MATCH(MAX(1,MIN(9,ROUND(ABS(D9),0))),$A$35:$A$43,0))</f>
        <v/>
      </c>
      <c r="I49" s="22">
        <f>INDEX($C$35:$C$43,MATCH(MAX(1,MIN(9,ROUND(ABS(D9),0))),$A$35:$A$43,0))</f>
        <v/>
      </c>
      <c r="J49" s="22">
        <f>INDEX($D$35:$D$43,MATCH(MAX(1,MIN(9,ROUND(ABS(D9),0))),$A$35:$A$43,0))</f>
        <v/>
      </c>
      <c r="K49" s="22">
        <f>INDEX($B$35:$B$43,MATCH(MAX(1,MIN(9,ROUND(ABS(E9),0))),$A$35:$A$43,0))</f>
        <v/>
      </c>
      <c r="L49" s="22">
        <f>INDEX($C$35:$C$43,MATCH(MAX(1,MIN(9,ROUND(ABS(E9),0))),$A$35:$A$43,0))</f>
        <v/>
      </c>
      <c r="M49" s="22">
        <f>INDEX($D$35:$D$43,MATCH(MAX(1,MIN(9,ROUND(ABS(E9),0))),$A$35:$A$43,0))</f>
        <v/>
      </c>
      <c r="N49" s="22">
        <f>INDEX($B$35:$B$43,MATCH(MAX(1,MIN(9,ROUND(ABS(F9),0))),$A$35:$A$43,0))</f>
        <v/>
      </c>
      <c r="O49" s="22">
        <f>INDEX($C$35:$C$43,MATCH(MAX(1,MIN(9,ROUND(ABS(F9),0))),$A$35:$A$43,0))</f>
        <v/>
      </c>
      <c r="P49" s="22">
        <f>INDEX($D$35:$D$43,MATCH(MAX(1,MIN(9,ROUND(ABS(F9),0))),$A$35:$A$43,0))</f>
        <v/>
      </c>
      <c r="Q49" s="22">
        <f>INDEX($B$35:$B$43,MATCH(MAX(1,MIN(9,ROUND(ABS(G9),0))),$A$35:$A$43,0))</f>
        <v/>
      </c>
      <c r="R49" s="22">
        <f>INDEX($C$35:$C$43,MATCH(MAX(1,MIN(9,ROUND(ABS(G9),0))),$A$35:$A$43,0))</f>
        <v/>
      </c>
      <c r="S49" s="22">
        <f>INDEX($D$35:$D$43,MATCH(MAX(1,MIN(9,ROUND(ABS(G9),0))),$A$35:$A$43,0))</f>
        <v/>
      </c>
    </row>
    <row r="50">
      <c r="A50" s="21" t="inlineStr">
        <is>
          <t>Pencapaian SKU</t>
        </is>
      </c>
      <c r="B50" s="23">
        <f>1/INDEX($D$35:$D$43,MATCH(MAX(1,MIN(9,ROUND(ABS(C9),0))),$A$35:$A$43,0))</f>
        <v/>
      </c>
      <c r="C50" s="23">
        <f>1/INDEX($C$35:$C$43,MATCH(MAX(1,MIN(9,ROUND(ABS(C9),0))),$A$35:$A$43,0))</f>
        <v/>
      </c>
      <c r="D50" s="23">
        <f>1/INDEX($B$35:$B$43,MATCH(MAX(1,MIN(9,ROUND(ABS(C9),0))),$A$35:$A$43,0))</f>
        <v/>
      </c>
      <c r="E50" s="22">
        <f>INDEX($B$35:$B$43,MATCH(MAX(1,MIN(9,ROUND(ABS(C10),0))),$A$35:$A$43,0))</f>
        <v/>
      </c>
      <c r="F50" s="22">
        <f>INDEX($C$35:$C$43,MATCH(MAX(1,MIN(9,ROUND(ABS(C10),0))),$A$35:$A$43,0))</f>
        <v/>
      </c>
      <c r="G50" s="22">
        <f>INDEX($D$35:$D$43,MATCH(MAX(1,MIN(9,ROUND(ABS(C10),0))),$A$35:$A$43,0))</f>
        <v/>
      </c>
      <c r="H50" s="22">
        <f>INDEX($B$35:$B$43,MATCH(MAX(1,MIN(9,ROUND(ABS(D10),0))),$A$35:$A$43,0))</f>
        <v/>
      </c>
      <c r="I50" s="22">
        <f>INDEX($C$35:$C$43,MATCH(MAX(1,MIN(9,ROUND(ABS(D10),0))),$A$35:$A$43,0))</f>
        <v/>
      </c>
      <c r="J50" s="22">
        <f>INDEX($D$35:$D$43,MATCH(MAX(1,MIN(9,ROUND(ABS(D10),0))),$A$35:$A$43,0))</f>
        <v/>
      </c>
      <c r="K50" s="22">
        <f>INDEX($B$35:$B$43,MATCH(MAX(1,MIN(9,ROUND(ABS(E10),0))),$A$35:$A$43,0))</f>
        <v/>
      </c>
      <c r="L50" s="22">
        <f>INDEX($C$35:$C$43,MATCH(MAX(1,MIN(9,ROUND(ABS(E10),0))),$A$35:$A$43,0))</f>
        <v/>
      </c>
      <c r="M50" s="22">
        <f>INDEX($D$35:$D$43,MATCH(MAX(1,MIN(9,ROUND(ABS(E10),0))),$A$35:$A$43,0))</f>
        <v/>
      </c>
      <c r="N50" s="22">
        <f>INDEX($B$35:$B$43,MATCH(MAX(1,MIN(9,ROUND(ABS(F10),0))),$A$35:$A$43,0))</f>
        <v/>
      </c>
      <c r="O50" s="22">
        <f>INDEX($C$35:$C$43,MATCH(MAX(1,MIN(9,ROUND(ABS(F10),0))),$A$35:$A$43,0))</f>
        <v/>
      </c>
      <c r="P50" s="22">
        <f>INDEX($D$35:$D$43,MATCH(MAX(1,MIN(9,ROUND(ABS(F10),0))),$A$35:$A$43,0))</f>
        <v/>
      </c>
      <c r="Q50" s="22">
        <f>INDEX($B$35:$B$43,MATCH(MAX(1,MIN(9,ROUND(ABS(G10),0))),$A$35:$A$43,0))</f>
        <v/>
      </c>
      <c r="R50" s="22">
        <f>INDEX($C$35:$C$43,MATCH(MAX(1,MIN(9,ROUND(ABS(G10),0))),$A$35:$A$43,0))</f>
        <v/>
      </c>
      <c r="S50" s="22">
        <f>INDEX($D$35:$D$43,MATCH(MAX(1,MIN(9,ROUND(ABS(G10),0))),$A$35:$A$43,0))</f>
        <v/>
      </c>
    </row>
    <row r="51">
      <c r="A51" s="21" t="inlineStr">
        <is>
          <t>Pencapaian SPG</t>
        </is>
      </c>
      <c r="B51" s="23">
        <f>1/INDEX($D$35:$D$43,MATCH(MAX(1,MIN(9,ROUND(ABS(D9),0))),$A$35:$A$43,0))</f>
        <v/>
      </c>
      <c r="C51" s="23">
        <f>1/INDEX($C$35:$C$43,MATCH(MAX(1,MIN(9,ROUND(ABS(D9),0))),$A$35:$A$43,0))</f>
        <v/>
      </c>
      <c r="D51" s="23">
        <f>1/INDEX($B$35:$B$43,MATCH(MAX(1,MIN(9,ROUND(ABS(D9),0))),$A$35:$A$43,0))</f>
        <v/>
      </c>
      <c r="E51" s="23">
        <f>1/INDEX($D$35:$D$43,MATCH(MAX(1,MIN(9,ROUND(ABS(D10),0))),$A$35:$A$43,0))</f>
        <v/>
      </c>
      <c r="F51" s="23">
        <f>1/INDEX($C$35:$C$43,MATCH(MAX(1,MIN(9,ROUND(ABS(D10),0))),$A$35:$A$43,0))</f>
        <v/>
      </c>
      <c r="G51" s="23">
        <f>1/INDEX($B$35:$B$43,MATCH(MAX(1,MIN(9,ROUND(ABS(D10),0))),$A$35:$A$43,0))</f>
        <v/>
      </c>
      <c r="H51" s="22">
        <f>INDEX($B$35:$B$43,MATCH(MAX(1,MIN(9,ROUND(ABS(D11),0))),$A$35:$A$43,0))</f>
        <v/>
      </c>
      <c r="I51" s="22">
        <f>INDEX($C$35:$C$43,MATCH(MAX(1,MIN(9,ROUND(ABS(D11),0))),$A$35:$A$43,0))</f>
        <v/>
      </c>
      <c r="J51" s="22">
        <f>INDEX($D$35:$D$43,MATCH(MAX(1,MIN(9,ROUND(ABS(D11),0))),$A$35:$A$43,0))</f>
        <v/>
      </c>
      <c r="K51" s="22">
        <f>INDEX($B$35:$B$43,MATCH(MAX(1,MIN(9,ROUND(ABS(E11),0))),$A$35:$A$43,0))</f>
        <v/>
      </c>
      <c r="L51" s="22">
        <f>INDEX($C$35:$C$43,MATCH(MAX(1,MIN(9,ROUND(ABS(E11),0))),$A$35:$A$43,0))</f>
        <v/>
      </c>
      <c r="M51" s="22">
        <f>INDEX($D$35:$D$43,MATCH(MAX(1,MIN(9,ROUND(ABS(E11),0))),$A$35:$A$43,0))</f>
        <v/>
      </c>
      <c r="N51" s="22">
        <f>INDEX($B$35:$B$43,MATCH(MAX(1,MIN(9,ROUND(ABS(F11),0))),$A$35:$A$43,0))</f>
        <v/>
      </c>
      <c r="O51" s="22">
        <f>INDEX($C$35:$C$43,MATCH(MAX(1,MIN(9,ROUND(ABS(F11),0))),$A$35:$A$43,0))</f>
        <v/>
      </c>
      <c r="P51" s="22">
        <f>INDEX($D$35:$D$43,MATCH(MAX(1,MIN(9,ROUND(ABS(F11),0))),$A$35:$A$43,0))</f>
        <v/>
      </c>
      <c r="Q51" s="22">
        <f>INDEX($B$35:$B$43,MATCH(MAX(1,MIN(9,ROUND(ABS(G11),0))),$A$35:$A$43,0))</f>
        <v/>
      </c>
      <c r="R51" s="22">
        <f>INDEX($C$35:$C$43,MATCH(MAX(1,MIN(9,ROUND(ABS(G11),0))),$A$35:$A$43,0))</f>
        <v/>
      </c>
      <c r="S51" s="22">
        <f>INDEX($D$35:$D$43,MATCH(MAX(1,MIN(9,ROUND(ABS(G11),0))),$A$35:$A$43,0))</f>
        <v/>
      </c>
    </row>
    <row r="52">
      <c r="A52" s="21" t="inlineStr">
        <is>
          <t>Kesehatan Jasmani</t>
        </is>
      </c>
      <c r="B52" s="23">
        <f>1/INDEX($D$35:$D$43,MATCH(MAX(1,MIN(9,ROUND(ABS(E9),0))),$A$35:$A$43,0))</f>
        <v/>
      </c>
      <c r="C52" s="23">
        <f>1/INDEX($C$35:$C$43,MATCH(MAX(1,MIN(9,ROUND(ABS(E9),0))),$A$35:$A$43,0))</f>
        <v/>
      </c>
      <c r="D52" s="23">
        <f>1/INDEX($B$35:$B$43,MATCH(MAX(1,MIN(9,ROUND(ABS(E9),0))),$A$35:$A$43,0))</f>
        <v/>
      </c>
      <c r="E52" s="23">
        <f>1/INDEX($D$35:$D$43,MATCH(MAX(1,MIN(9,ROUND(ABS(E10),0))),$A$35:$A$43,0))</f>
        <v/>
      </c>
      <c r="F52" s="23">
        <f>1/INDEX($C$35:$C$43,MATCH(MAX(1,MIN(9,ROUND(ABS(E10),0))),$A$35:$A$43,0))</f>
        <v/>
      </c>
      <c r="G52" s="23">
        <f>1/INDEX($B$35:$B$43,MATCH(MAX(1,MIN(9,ROUND(ABS(E10),0))),$A$35:$A$43,0))</f>
        <v/>
      </c>
      <c r="H52" s="23">
        <f>1/INDEX($D$35:$D$43,MATCH(MAX(1,MIN(9,ROUND(ABS(E11),0))),$A$35:$A$43,0))</f>
        <v/>
      </c>
      <c r="I52" s="23">
        <f>1/INDEX($C$35:$C$43,MATCH(MAX(1,MIN(9,ROUND(ABS(E11),0))),$A$35:$A$43,0))</f>
        <v/>
      </c>
      <c r="J52" s="23">
        <f>1/INDEX($B$35:$B$43,MATCH(MAX(1,MIN(9,ROUND(ABS(E11),0))),$A$35:$A$43,0))</f>
        <v/>
      </c>
      <c r="K52" s="22">
        <f>INDEX($B$35:$B$43,MATCH(MAX(1,MIN(9,ROUND(ABS(E12),0))),$A$35:$A$43,0))</f>
        <v/>
      </c>
      <c r="L52" s="22">
        <f>INDEX($C$35:$C$43,MATCH(MAX(1,MIN(9,ROUND(ABS(E12),0))),$A$35:$A$43,0))</f>
        <v/>
      </c>
      <c r="M52" s="22">
        <f>INDEX($D$35:$D$43,MATCH(MAX(1,MIN(9,ROUND(ABS(E12),0))),$A$35:$A$43,0))</f>
        <v/>
      </c>
      <c r="N52" s="22">
        <f>INDEX($B$35:$B$43,MATCH(MAX(1,MIN(9,ROUND(ABS(F12),0))),$A$35:$A$43,0))</f>
        <v/>
      </c>
      <c r="O52" s="22">
        <f>INDEX($C$35:$C$43,MATCH(MAX(1,MIN(9,ROUND(ABS(F12),0))),$A$35:$A$43,0))</f>
        <v/>
      </c>
      <c r="P52" s="22">
        <f>INDEX($D$35:$D$43,MATCH(MAX(1,MIN(9,ROUND(ABS(F12),0))),$A$35:$A$43,0))</f>
        <v/>
      </c>
      <c r="Q52" s="22">
        <f>INDEX($B$35:$B$43,MATCH(MAX(1,MIN(9,ROUND(ABS(G12),0))),$A$35:$A$43,0))</f>
        <v/>
      </c>
      <c r="R52" s="22">
        <f>INDEX($C$35:$C$43,MATCH(MAX(1,MIN(9,ROUND(ABS(G12),0))),$A$35:$A$43,0))</f>
        <v/>
      </c>
      <c r="S52" s="22">
        <f>INDEX($D$35:$D$43,MATCH(MAX(1,MIN(9,ROUND(ABS(G12),0))),$A$35:$A$43,0))</f>
        <v/>
      </c>
    </row>
    <row r="53">
      <c r="A53" s="21" t="inlineStr">
        <is>
          <t>Tes Wawancara</t>
        </is>
      </c>
      <c r="B53" s="23">
        <f>1/INDEX($D$35:$D$43,MATCH(MAX(1,MIN(9,ROUND(ABS(F9),0))),$A$35:$A$43,0))</f>
        <v/>
      </c>
      <c r="C53" s="23">
        <f>1/INDEX($C$35:$C$43,MATCH(MAX(1,MIN(9,ROUND(ABS(F9),0))),$A$35:$A$43,0))</f>
        <v/>
      </c>
      <c r="D53" s="23">
        <f>1/INDEX($B$35:$B$43,MATCH(MAX(1,MIN(9,ROUND(ABS(F9),0))),$A$35:$A$43,0))</f>
        <v/>
      </c>
      <c r="E53" s="23">
        <f>1/INDEX($D$35:$D$43,MATCH(MAX(1,MIN(9,ROUND(ABS(F10),0))),$A$35:$A$43,0))</f>
        <v/>
      </c>
      <c r="F53" s="23">
        <f>1/INDEX($C$35:$C$43,MATCH(MAX(1,MIN(9,ROUND(ABS(F10),0))),$A$35:$A$43,0))</f>
        <v/>
      </c>
      <c r="G53" s="23">
        <f>1/INDEX($B$35:$B$43,MATCH(MAX(1,MIN(9,ROUND(ABS(F10),0))),$A$35:$A$43,0))</f>
        <v/>
      </c>
      <c r="H53" s="23">
        <f>1/INDEX($D$35:$D$43,MATCH(MAX(1,MIN(9,ROUND(ABS(F11),0))),$A$35:$A$43,0))</f>
        <v/>
      </c>
      <c r="I53" s="23">
        <f>1/INDEX($C$35:$C$43,MATCH(MAX(1,MIN(9,ROUND(ABS(F11),0))),$A$35:$A$43,0))</f>
        <v/>
      </c>
      <c r="J53" s="23">
        <f>1/INDEX($B$35:$B$43,MATCH(MAX(1,MIN(9,ROUND(ABS(F11),0))),$A$35:$A$43,0))</f>
        <v/>
      </c>
      <c r="K53" s="23">
        <f>1/INDEX($D$35:$D$43,MATCH(MAX(1,MIN(9,ROUND(ABS(F12),0))),$A$35:$A$43,0))</f>
        <v/>
      </c>
      <c r="L53" s="23">
        <f>1/INDEX($C$35:$C$43,MATCH(MAX(1,MIN(9,ROUND(ABS(F12),0))),$A$35:$A$43,0))</f>
        <v/>
      </c>
      <c r="M53" s="23">
        <f>1/INDEX($B$35:$B$43,MATCH(MAX(1,MIN(9,ROUND(ABS(F12),0))),$A$35:$A$43,0))</f>
        <v/>
      </c>
      <c r="N53" s="22">
        <f>INDEX($B$35:$B$43,MATCH(MAX(1,MIN(9,ROUND(ABS(F13),0))),$A$35:$A$43,0))</f>
        <v/>
      </c>
      <c r="O53" s="22">
        <f>INDEX($C$35:$C$43,MATCH(MAX(1,MIN(9,ROUND(ABS(F13),0))),$A$35:$A$43,0))</f>
        <v/>
      </c>
      <c r="P53" s="22">
        <f>INDEX($D$35:$D$43,MATCH(MAX(1,MIN(9,ROUND(ABS(F13),0))),$A$35:$A$43,0))</f>
        <v/>
      </c>
      <c r="Q53" s="22">
        <f>INDEX($B$35:$B$43,MATCH(MAX(1,MIN(9,ROUND(ABS(G13),0))),$A$35:$A$43,0))</f>
        <v/>
      </c>
      <c r="R53" s="22">
        <f>INDEX($C$35:$C$43,MATCH(MAX(1,MIN(9,ROUND(ABS(G13),0))),$A$35:$A$43,0))</f>
        <v/>
      </c>
      <c r="S53" s="22">
        <f>INDEX($D$35:$D$43,MATCH(MAX(1,MIN(9,ROUND(ABS(G13),0))),$A$35:$A$43,0))</f>
        <v/>
      </c>
    </row>
    <row r="54">
      <c r="A54" s="21" t="inlineStr">
        <is>
          <t>Tes Pilihan Ganda</t>
        </is>
      </c>
      <c r="B54" s="23">
        <f>1/INDEX($D$35:$D$43,MATCH(MAX(1,MIN(9,ROUND(ABS(G9),0))),$A$35:$A$43,0))</f>
        <v/>
      </c>
      <c r="C54" s="23">
        <f>1/INDEX($C$35:$C$43,MATCH(MAX(1,MIN(9,ROUND(ABS(G9),0))),$A$35:$A$43,0))</f>
        <v/>
      </c>
      <c r="D54" s="23">
        <f>1/INDEX($B$35:$B$43,MATCH(MAX(1,MIN(9,ROUND(ABS(G9),0))),$A$35:$A$43,0))</f>
        <v/>
      </c>
      <c r="E54" s="23">
        <f>1/INDEX($D$35:$D$43,MATCH(MAX(1,MIN(9,ROUND(ABS(G10),0))),$A$35:$A$43,0))</f>
        <v/>
      </c>
      <c r="F54" s="23">
        <f>1/INDEX($C$35:$C$43,MATCH(MAX(1,MIN(9,ROUND(ABS(G10),0))),$A$35:$A$43,0))</f>
        <v/>
      </c>
      <c r="G54" s="23">
        <f>1/INDEX($B$35:$B$43,MATCH(MAX(1,MIN(9,ROUND(ABS(G10),0))),$A$35:$A$43,0))</f>
        <v/>
      </c>
      <c r="H54" s="23">
        <f>1/INDEX($D$35:$D$43,MATCH(MAX(1,MIN(9,ROUND(ABS(G11),0))),$A$35:$A$43,0))</f>
        <v/>
      </c>
      <c r="I54" s="23">
        <f>1/INDEX($C$35:$C$43,MATCH(MAX(1,MIN(9,ROUND(ABS(G11),0))),$A$35:$A$43,0))</f>
        <v/>
      </c>
      <c r="J54" s="23">
        <f>1/INDEX($B$35:$B$43,MATCH(MAX(1,MIN(9,ROUND(ABS(G11),0))),$A$35:$A$43,0))</f>
        <v/>
      </c>
      <c r="K54" s="23">
        <f>1/INDEX($D$35:$D$43,MATCH(MAX(1,MIN(9,ROUND(ABS(G12),0))),$A$35:$A$43,0))</f>
        <v/>
      </c>
      <c r="L54" s="23">
        <f>1/INDEX($C$35:$C$43,MATCH(MAX(1,MIN(9,ROUND(ABS(G12),0))),$A$35:$A$43,0))</f>
        <v/>
      </c>
      <c r="M54" s="23">
        <f>1/INDEX($B$35:$B$43,MATCH(MAX(1,MIN(9,ROUND(ABS(G12),0))),$A$35:$A$43,0))</f>
        <v/>
      </c>
      <c r="N54" s="23">
        <f>1/INDEX($D$35:$D$43,MATCH(MAX(1,MIN(9,ROUND(ABS(G13),0))),$A$35:$A$43,0))</f>
        <v/>
      </c>
      <c r="O54" s="23">
        <f>1/INDEX($C$35:$C$43,MATCH(MAX(1,MIN(9,ROUND(ABS(G13),0))),$A$35:$A$43,0))</f>
        <v/>
      </c>
      <c r="P54" s="23">
        <f>1/INDEX($B$35:$B$43,MATCH(MAX(1,MIN(9,ROUND(ABS(G13),0))),$A$35:$A$43,0))</f>
        <v/>
      </c>
      <c r="Q54" s="22">
        <f>INDEX($B$35:$B$43,MATCH(MAX(1,MIN(9,ROUND(ABS(G14),0))),$A$35:$A$43,0))</f>
        <v/>
      </c>
      <c r="R54" s="22">
        <f>INDEX($C$35:$C$43,MATCH(MAX(1,MIN(9,ROUND(ABS(G14),0))),$A$35:$A$43,0))</f>
        <v/>
      </c>
      <c r="S54" s="22">
        <f>INDEX($D$35:$D$43,MATCH(MAX(1,MIN(9,ROUND(ABS(G14),0))),$A$35:$A$43,0))</f>
        <v/>
      </c>
    </row>
    <row r="57">
      <c r="A57" s="4" t="inlineStr">
        <is>
          <t>RINGKASAN: BOBOT KRITERIA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8" t="inlineStr">
        <is>
          <t>No</t>
        </is>
      </c>
      <c r="B58" s="8" t="inlineStr">
        <is>
          <t>Kriteria</t>
        </is>
      </c>
      <c r="C58" s="8" t="inlineStr">
        <is>
          <t>Bobot</t>
        </is>
      </c>
      <c r="D58" s="8" t="inlineStr">
        <is>
          <t>Persentase</t>
        </is>
      </c>
    </row>
    <row r="59">
      <c r="A59" s="10" t="n">
        <v>1</v>
      </c>
      <c r="B59" s="10" t="inlineStr">
        <is>
          <t>Status Keaktifan</t>
        </is>
      </c>
      <c r="C59" s="12">
        <f>I9</f>
        <v/>
      </c>
      <c r="D59" s="24">
        <f>I9*100</f>
        <v/>
      </c>
    </row>
    <row r="60">
      <c r="A60" s="10" t="n">
        <v>2</v>
      </c>
      <c r="B60" s="10" t="inlineStr">
        <is>
          <t>Pencapaian SKU</t>
        </is>
      </c>
      <c r="C60" s="12">
        <f>I10</f>
        <v/>
      </c>
      <c r="D60" s="24">
        <f>I10*100</f>
        <v/>
      </c>
    </row>
    <row r="61">
      <c r="A61" s="10" t="n">
        <v>3</v>
      </c>
      <c r="B61" s="10" t="inlineStr">
        <is>
          <t>Pencapaian SPG</t>
        </is>
      </c>
      <c r="C61" s="12">
        <f>I11</f>
        <v/>
      </c>
      <c r="D61" s="24">
        <f>I11*100</f>
        <v/>
      </c>
    </row>
    <row r="62">
      <c r="A62" s="10" t="n">
        <v>4</v>
      </c>
      <c r="B62" s="10" t="inlineStr">
        <is>
          <t>Kesehatan Jasmani</t>
        </is>
      </c>
      <c r="C62" s="12">
        <f>I12</f>
        <v/>
      </c>
      <c r="D62" s="24">
        <f>I12*100</f>
        <v/>
      </c>
    </row>
    <row r="63">
      <c r="A63" s="10" t="n">
        <v>5</v>
      </c>
      <c r="B63" s="10" t="inlineStr">
        <is>
          <t>Tes Wawancara</t>
        </is>
      </c>
      <c r="C63" s="12">
        <f>I13</f>
        <v/>
      </c>
      <c r="D63" s="24">
        <f>I13*100</f>
        <v/>
      </c>
    </row>
    <row r="64">
      <c r="A64" s="10" t="n">
        <v>6</v>
      </c>
      <c r="B64" s="10" t="inlineStr">
        <is>
          <t>Tes Pilihan Ganda</t>
        </is>
      </c>
      <c r="C64" s="12">
        <f>I14</f>
        <v/>
      </c>
      <c r="D64" s="24">
        <f>I14*100</f>
        <v/>
      </c>
    </row>
    <row r="65">
      <c r="B65" s="10" t="inlineStr">
        <is>
          <t>TOTAL</t>
        </is>
      </c>
      <c r="C65" s="25">
        <f>SUM(C59:C64)</f>
        <v/>
      </c>
      <c r="D65" s="25">
        <f>SUM(D59:D64)</f>
        <v/>
      </c>
    </row>
    <row r="67">
      <c r="A67" s="16" t="inlineStr">
        <is>
          <t>STATUS:</t>
        </is>
      </c>
      <c r="B67" s="26">
        <f>IF($B$30&lt;=0.1,"VALID - Dapat digunakan","TIDAK VALID")</f>
        <v/>
      </c>
    </row>
  </sheetData>
  <mergeCells count="17">
    <mergeCell ref="A45:T45"/>
    <mergeCell ref="A46:T46"/>
    <mergeCell ref="A1:J1"/>
    <mergeCell ref="K47:M47"/>
    <mergeCell ref="N47:P47"/>
    <mergeCell ref="B67:D67"/>
    <mergeCell ref="A6:J6"/>
    <mergeCell ref="A17:J17"/>
    <mergeCell ref="E47:G47"/>
    <mergeCell ref="H47:J47"/>
    <mergeCell ref="A7:J7"/>
    <mergeCell ref="A57:J57"/>
    <mergeCell ref="B31:C31"/>
    <mergeCell ref="A2:J2"/>
    <mergeCell ref="Q47:S47"/>
    <mergeCell ref="B47:D47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2026-02-04T12:27:22Z</dcterms:created>
  <dcterms:modified xsi:type="dcterms:W3CDTF">2026-02-04T12:27:22Z</dcterms:modified>
</cp:coreProperties>
</file>