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zzy A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2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FF0000"/>
    </font>
    <font>
      <b val="1"/>
      <color rgb="00FFFFFF"/>
      <sz val="12"/>
    </font>
    <font>
      <b val="1"/>
      <color rgb="00FFFFFF"/>
      <sz val="11"/>
    </font>
    <font>
      <b val="1"/>
    </font>
    <font>
      <sz val="10"/>
    </font>
    <font>
      <color rgb="000000FF"/>
      <sz val="11"/>
    </font>
    <font>
      <b val="1"/>
      <color rgb="001F4E79"/>
      <sz val="11"/>
    </font>
    <font>
      <b val="1"/>
      <color rgb="00ED7D31"/>
      <sz val="14"/>
    </font>
    <font>
      <b val="1"/>
      <sz val="14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4" pivotButton="0" quotePrefix="0" xfId="0"/>
    <xf numFmtId="165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FUZZY AHP CALCULATOR</t>
        </is>
      </c>
    </row>
    <row r="2">
      <c r="A2" s="2" t="inlineStr">
        <is>
          <t>Ubah nilai 1-9 di sel KUNING. Hasil otomatis terhitung.</t>
        </is>
      </c>
    </row>
    <row r="4">
      <c r="A4" s="3" t="inlineStr">
        <is>
          <t>MATRIKS PERBANDINGAN BERPASANGAN</t>
        </is>
      </c>
    </row>
    <row r="5">
      <c r="A5" s="4" t="inlineStr"/>
      <c r="B5" s="4" t="inlineStr">
        <is>
          <t>K1</t>
        </is>
      </c>
      <c r="C5" s="4" t="inlineStr">
        <is>
          <t>K2</t>
        </is>
      </c>
      <c r="D5" s="4" t="inlineStr">
        <is>
          <t>K3</t>
        </is>
      </c>
      <c r="E5" s="4" t="inlineStr">
        <is>
          <t>K4</t>
        </is>
      </c>
      <c r="F5" s="4" t="inlineStr">
        <is>
          <t>K5</t>
        </is>
      </c>
      <c r="G5" s="4" t="inlineStr">
        <is>
          <t>K6</t>
        </is>
      </c>
      <c r="H5" s="5" t="inlineStr">
        <is>
          <t>GM</t>
        </is>
      </c>
      <c r="I5" s="5" t="inlineStr">
        <is>
          <t>Wi</t>
        </is>
      </c>
    </row>
    <row r="6">
      <c r="A6" s="6" t="inlineStr">
        <is>
          <t>K1</t>
        </is>
      </c>
      <c r="B6" s="7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9">
        <f>(B6*C6*D6*E6*F6*G6)^(1/6)</f>
        <v/>
      </c>
      <c r="I6" s="9">
        <f>H6/$H$12</f>
        <v/>
      </c>
    </row>
    <row r="7">
      <c r="A7" s="6" t="inlineStr">
        <is>
          <t>K2</t>
        </is>
      </c>
      <c r="B7" s="10">
        <f>1/C6</f>
        <v/>
      </c>
      <c r="C7" s="7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9">
        <f>(B7*C7*D7*E7*F7*G7)^(1/6)</f>
        <v/>
      </c>
      <c r="I7" s="9">
        <f>H7/$H$12</f>
        <v/>
      </c>
    </row>
    <row r="8">
      <c r="A8" s="6" t="inlineStr">
        <is>
          <t>K3</t>
        </is>
      </c>
      <c r="B8" s="10">
        <f>1/D6</f>
        <v/>
      </c>
      <c r="C8" s="10">
        <f>1/D7</f>
        <v/>
      </c>
      <c r="D8" s="7" t="n">
        <v>1</v>
      </c>
      <c r="E8" s="8" t="n">
        <v>1</v>
      </c>
      <c r="F8" s="8" t="n">
        <v>1</v>
      </c>
      <c r="G8" s="8" t="n">
        <v>1</v>
      </c>
      <c r="H8" s="9">
        <f>(B8*C8*D8*E8*F8*G8)^(1/6)</f>
        <v/>
      </c>
      <c r="I8" s="9">
        <f>H8/$H$12</f>
        <v/>
      </c>
    </row>
    <row r="9">
      <c r="A9" s="6" t="inlineStr">
        <is>
          <t>K4</t>
        </is>
      </c>
      <c r="B9" s="10">
        <f>1/E6</f>
        <v/>
      </c>
      <c r="C9" s="10">
        <f>1/E7</f>
        <v/>
      </c>
      <c r="D9" s="10">
        <f>1/E8</f>
        <v/>
      </c>
      <c r="E9" s="7" t="n">
        <v>1</v>
      </c>
      <c r="F9" s="8" t="n">
        <v>1</v>
      </c>
      <c r="G9" s="8" t="n">
        <v>1</v>
      </c>
      <c r="H9" s="9">
        <f>(B9*C9*D9*E9*F9*G9)^(1/6)</f>
        <v/>
      </c>
      <c r="I9" s="9">
        <f>H9/$H$12</f>
        <v/>
      </c>
    </row>
    <row r="10">
      <c r="A10" s="6" t="inlineStr">
        <is>
          <t>K5</t>
        </is>
      </c>
      <c r="B10" s="10">
        <f>1/F6</f>
        <v/>
      </c>
      <c r="C10" s="10">
        <f>1/F7</f>
        <v/>
      </c>
      <c r="D10" s="10">
        <f>1/F8</f>
        <v/>
      </c>
      <c r="E10" s="10">
        <f>1/F9</f>
        <v/>
      </c>
      <c r="F10" s="7" t="n">
        <v>1</v>
      </c>
      <c r="G10" s="8" t="n">
        <v>1</v>
      </c>
      <c r="H10" s="9">
        <f>(B10*C10*D10*E10*F10*G10)^(1/6)</f>
        <v/>
      </c>
      <c r="I10" s="9">
        <f>H10/$H$12</f>
        <v/>
      </c>
    </row>
    <row r="11">
      <c r="A11" s="6" t="inlineStr">
        <is>
          <t>K6</t>
        </is>
      </c>
      <c r="B11" s="10">
        <f>1/G6</f>
        <v/>
      </c>
      <c r="C11" s="10">
        <f>1/G7</f>
        <v/>
      </c>
      <c r="D11" s="10">
        <f>1/G8</f>
        <v/>
      </c>
      <c r="E11" s="10">
        <f>1/G9</f>
        <v/>
      </c>
      <c r="F11" s="10">
        <f>1/G10</f>
        <v/>
      </c>
      <c r="G11" s="7" t="n">
        <v>1</v>
      </c>
      <c r="H11" s="9">
        <f>(B11*C11*D11*E11*F11*G11)^(1/6)</f>
        <v/>
      </c>
      <c r="I11" s="9">
        <f>H11/$H$12</f>
        <v/>
      </c>
    </row>
    <row r="12">
      <c r="G12" s="11" t="inlineStr">
        <is>
          <t>Total:</t>
        </is>
      </c>
      <c r="H12" s="12">
        <f>SUM(H6:H11)</f>
        <v/>
      </c>
      <c r="I12" s="12">
        <f>SUM(I6:I11)</f>
        <v/>
      </c>
    </row>
    <row r="14">
      <c r="A14" s="3" t="inlineStr">
        <is>
          <t>PERHITUNGAN KONSISTENSI</t>
        </is>
      </c>
    </row>
    <row r="15">
      <c r="A15" s="4" t="inlineStr">
        <is>
          <t>Kriteria</t>
        </is>
      </c>
      <c r="B15" s="4" t="inlineStr">
        <is>
          <t>A*w</t>
        </is>
      </c>
      <c r="C15" s="4" t="inlineStr">
        <is>
          <t>(A*w)/w</t>
        </is>
      </c>
    </row>
    <row r="16">
      <c r="A16" s="13" t="inlineStr">
        <is>
          <t>K1</t>
        </is>
      </c>
      <c r="B16" s="9">
        <f>B6*$I$6+C6*$I$7+D6*$I$8+E6*$I$9+F6*$I$10+G6*$I$11</f>
        <v/>
      </c>
      <c r="C16" s="9">
        <f>B16/$I$6</f>
        <v/>
      </c>
    </row>
    <row r="17">
      <c r="A17" s="13" t="inlineStr">
        <is>
          <t>K2</t>
        </is>
      </c>
      <c r="B17" s="9">
        <f>B7*$I$6+C7*$I$7+D7*$I$8+E7*$I$9+F7*$I$10+G7*$I$11</f>
        <v/>
      </c>
      <c r="C17" s="9">
        <f>B17/$I$7</f>
        <v/>
      </c>
    </row>
    <row r="18">
      <c r="A18" s="13" t="inlineStr">
        <is>
          <t>K3</t>
        </is>
      </c>
      <c r="B18" s="9">
        <f>B8*$I$6+C8*$I$7+D8*$I$8+E8*$I$9+F8*$I$10+G8*$I$11</f>
        <v/>
      </c>
      <c r="C18" s="9">
        <f>B18/$I$8</f>
        <v/>
      </c>
    </row>
    <row r="19">
      <c r="A19" s="13" t="inlineStr">
        <is>
          <t>K4</t>
        </is>
      </c>
      <c r="B19" s="9">
        <f>B9*$I$6+C9*$I$7+D9*$I$8+E9*$I$9+F9*$I$10+G9*$I$11</f>
        <v/>
      </c>
      <c r="C19" s="9">
        <f>B19/$I$9</f>
        <v/>
      </c>
    </row>
    <row r="20">
      <c r="A20" s="13" t="inlineStr">
        <is>
          <t>K5</t>
        </is>
      </c>
      <c r="B20" s="9">
        <f>B10*$I$6+C10*$I$7+D10*$I$8+E10*$I$9+F10*$I$10+G10*$I$11</f>
        <v/>
      </c>
      <c r="C20" s="9">
        <f>B20/$I$10</f>
        <v/>
      </c>
    </row>
    <row r="21">
      <c r="A21" s="13" t="inlineStr">
        <is>
          <t>K6</t>
        </is>
      </c>
      <c r="B21" s="9">
        <f>B11*$I$6+C11*$I$7+D11*$I$8+E11*$I$9+F11*$I$10+G11*$I$11</f>
        <v/>
      </c>
      <c r="C21" s="9">
        <f>B21/$I$11</f>
        <v/>
      </c>
    </row>
    <row r="23">
      <c r="A23" s="14" t="inlineStr">
        <is>
          <t>Lambda Max:</t>
        </is>
      </c>
      <c r="B23" s="12">
        <f>AVERAGE(C16:C21)</f>
        <v/>
      </c>
    </row>
    <row r="24">
      <c r="A24" s="14" t="inlineStr">
        <is>
          <t>CI:</t>
        </is>
      </c>
      <c r="B24" s="10">
        <f>(B23-6)/5</f>
        <v/>
      </c>
    </row>
    <row r="25">
      <c r="A25" s="14" t="inlineStr">
        <is>
          <t>RI:</t>
        </is>
      </c>
      <c r="B25" s="7" t="n">
        <v>1.24</v>
      </c>
    </row>
    <row r="26">
      <c r="A26" s="14" t="inlineStr">
        <is>
          <t>CR:</t>
        </is>
      </c>
      <c r="B26" s="12">
        <f>B24/B25</f>
        <v/>
      </c>
    </row>
    <row r="27">
      <c r="A27" s="14" t="inlineStr">
        <is>
          <t>Status:</t>
        </is>
      </c>
      <c r="B27" s="7">
        <f>IF(B26&lt;=0.1,"KONSISTEN","TIDAK KONSISTEN")</f>
        <v/>
      </c>
      <c r="C27" s="15" t="n"/>
    </row>
    <row r="29">
      <c r="A29" s="3" t="inlineStr">
        <is>
          <t>TABEL SKALA FUZZY (TFN)</t>
        </is>
      </c>
    </row>
    <row r="30">
      <c r="A30" s="4" t="inlineStr">
        <is>
          <t>Nilai</t>
        </is>
      </c>
      <c r="B30" s="4" t="inlineStr">
        <is>
          <t>l</t>
        </is>
      </c>
      <c r="C30" s="4" t="inlineStr">
        <is>
          <t>m</t>
        </is>
      </c>
      <c r="D30" s="4" t="inlineStr">
        <is>
          <t>u</t>
        </is>
      </c>
    </row>
    <row r="31">
      <c r="A31" s="7" t="n">
        <v>1</v>
      </c>
      <c r="B31" s="7" t="n">
        <v>1</v>
      </c>
      <c r="C31" s="7" t="n">
        <v>1</v>
      </c>
      <c r="D31" s="7" t="n">
        <v>1</v>
      </c>
    </row>
    <row r="32">
      <c r="A32" s="7" t="n">
        <v>2</v>
      </c>
      <c r="B32" s="7" t="n">
        <v>0.5</v>
      </c>
      <c r="C32" s="7" t="n">
        <v>1</v>
      </c>
      <c r="D32" s="7" t="n">
        <v>1.5</v>
      </c>
    </row>
    <row r="33">
      <c r="A33" s="7" t="n">
        <v>3</v>
      </c>
      <c r="B33" s="7" t="n">
        <v>1</v>
      </c>
      <c r="C33" s="7" t="n">
        <v>1.5</v>
      </c>
      <c r="D33" s="7" t="n">
        <v>2</v>
      </c>
    </row>
    <row r="34">
      <c r="A34" s="7" t="n">
        <v>4</v>
      </c>
      <c r="B34" s="7" t="n">
        <v>1.5</v>
      </c>
      <c r="C34" s="7" t="n">
        <v>2</v>
      </c>
      <c r="D34" s="7" t="n">
        <v>2.5</v>
      </c>
    </row>
    <row r="35">
      <c r="A35" s="7" t="n">
        <v>5</v>
      </c>
      <c r="B35" s="7" t="n">
        <v>2</v>
      </c>
      <c r="C35" s="7" t="n">
        <v>2.5</v>
      </c>
      <c r="D35" s="7" t="n">
        <v>3</v>
      </c>
    </row>
    <row r="36">
      <c r="A36" s="7" t="n">
        <v>6</v>
      </c>
      <c r="B36" s="7" t="n">
        <v>2.5</v>
      </c>
      <c r="C36" s="7" t="n">
        <v>3</v>
      </c>
      <c r="D36" s="7" t="n">
        <v>3.5</v>
      </c>
    </row>
    <row r="37">
      <c r="A37" s="7" t="n">
        <v>7</v>
      </c>
      <c r="B37" s="7" t="n">
        <v>3</v>
      </c>
      <c r="C37" s="7" t="n">
        <v>3.5</v>
      </c>
      <c r="D37" s="7" t="n">
        <v>4</v>
      </c>
    </row>
    <row r="38">
      <c r="A38" s="7" t="n">
        <v>8</v>
      </c>
      <c r="B38" s="7" t="n">
        <v>3.5</v>
      </c>
      <c r="C38" s="7" t="n">
        <v>4</v>
      </c>
      <c r="D38" s="7" t="n">
        <v>4.5</v>
      </c>
    </row>
    <row r="39">
      <c r="A39" s="7" t="n">
        <v>9</v>
      </c>
      <c r="B39" s="7" t="n">
        <v>4</v>
      </c>
      <c r="C39" s="7" t="n">
        <v>4.5</v>
      </c>
      <c r="D39" s="7" t="n">
        <v>4.5</v>
      </c>
    </row>
    <row r="41">
      <c r="A41" s="3" t="inlineStr">
        <is>
          <t>RINGKASAN BOBOT KRITERIA</t>
        </is>
      </c>
    </row>
    <row r="42">
      <c r="A42" s="5" t="inlineStr">
        <is>
          <t>No</t>
        </is>
      </c>
      <c r="B42" s="5" t="inlineStr">
        <is>
          <t>Kriteria</t>
        </is>
      </c>
      <c r="C42" s="5" t="inlineStr">
        <is>
          <t>Bobot</t>
        </is>
      </c>
      <c r="D42" s="5" t="inlineStr">
        <is>
          <t>%</t>
        </is>
      </c>
    </row>
    <row r="43">
      <c r="A43" s="7" t="n">
        <v>1</v>
      </c>
      <c r="B43" s="7" t="inlineStr">
        <is>
          <t>Status Keaktifan</t>
        </is>
      </c>
      <c r="C43" s="9">
        <f>I6</f>
        <v/>
      </c>
      <c r="D43" s="16">
        <f>I6*100</f>
        <v/>
      </c>
    </row>
    <row r="44">
      <c r="A44" s="7" t="n">
        <v>2</v>
      </c>
      <c r="B44" s="7" t="inlineStr">
        <is>
          <t>Pencapaian SKU</t>
        </is>
      </c>
      <c r="C44" s="9">
        <f>I7</f>
        <v/>
      </c>
      <c r="D44" s="16">
        <f>I7*100</f>
        <v/>
      </c>
    </row>
    <row r="45">
      <c r="A45" s="7" t="n">
        <v>3</v>
      </c>
      <c r="B45" s="7" t="inlineStr">
        <is>
          <t>Pencapaian SPG</t>
        </is>
      </c>
      <c r="C45" s="9">
        <f>I8</f>
        <v/>
      </c>
      <c r="D45" s="16">
        <f>I8*100</f>
        <v/>
      </c>
    </row>
    <row r="46">
      <c r="A46" s="7" t="n">
        <v>4</v>
      </c>
      <c r="B46" s="7" t="inlineStr">
        <is>
          <t>Kesehatan Jasmani</t>
        </is>
      </c>
      <c r="C46" s="9">
        <f>I9</f>
        <v/>
      </c>
      <c r="D46" s="16">
        <f>I9*100</f>
        <v/>
      </c>
    </row>
    <row r="47">
      <c r="A47" s="7" t="n">
        <v>5</v>
      </c>
      <c r="B47" s="7" t="inlineStr">
        <is>
          <t>Tes Wawancara</t>
        </is>
      </c>
      <c r="C47" s="9">
        <f>I10</f>
        <v/>
      </c>
      <c r="D47" s="16">
        <f>I10*100</f>
        <v/>
      </c>
    </row>
    <row r="48">
      <c r="A48" s="7" t="n">
        <v>6</v>
      </c>
      <c r="B48" s="7" t="inlineStr">
        <is>
          <t>Tes Pilihan Ganda</t>
        </is>
      </c>
      <c r="C48" s="9">
        <f>I11</f>
        <v/>
      </c>
      <c r="D48" s="16">
        <f>I11*100</f>
        <v/>
      </c>
    </row>
  </sheetData>
  <mergeCells count="7">
    <mergeCell ref="A29:I29"/>
    <mergeCell ref="A41:I41"/>
    <mergeCell ref="A2:I2"/>
    <mergeCell ref="A14:I14"/>
    <mergeCell ref="A1:I1"/>
    <mergeCell ref="B27:C27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2026-02-04T12:34:43Z</dcterms:created>
  <dcterms:modified xsi:type="dcterms:W3CDTF">2026-02-04T12:34:43Z</dcterms:modified>
</cp:coreProperties>
</file>