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a Input" sheetId="1" state="visible" r:id="rId1"/>
    <sheet name="2. Bobot Kriteria" sheetId="2" state="visible" r:id="rId2"/>
    <sheet name="3. Nilai Peserta" sheetId="3" state="visible" r:id="rId3"/>
    <sheet name="4. Hasil &amp; Ranking" sheetId="4" state="visible" r:id="rId4"/>
    <sheet name="5. Referen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  <sz val="11"/>
    </font>
    <font>
      <b val="1"/>
      <color rgb="00FFFFFF"/>
      <sz val="12"/>
    </font>
    <font>
      <b val="1"/>
    </font>
    <font>
      <color rgb="000000FF"/>
      <sz val="11"/>
    </font>
    <font>
      <b val="1"/>
      <color rgb="00FFFFFF"/>
      <sz val="11"/>
    </font>
    <font>
      <sz val="10"/>
    </font>
    <font>
      <b val="1"/>
      <color rgb="001F4E79"/>
      <sz val="16"/>
    </font>
    <font>
      <i val="1"/>
      <color rgb="00FF0000"/>
    </font>
    <font>
      <b val="1"/>
      <color rgb="001F4E79"/>
      <sz val="11"/>
    </font>
    <font>
      <b val="1"/>
      <color rgb="00ED7D31"/>
      <sz val="14"/>
    </font>
    <font>
      <b val="1"/>
      <sz val="14"/>
    </font>
    <font>
      <b val="1"/>
      <sz val="12"/>
    </font>
    <font>
      <i val="1"/>
      <color rgb="00666666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7" fillId="8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2" fontId="7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</cols>
  <sheetData>
    <row r="1">
      <c r="A1" s="1" t="inlineStr">
        <is>
          <t>SISTEM PENDUKUNG KEPUTUSAN - FUZZY AHP</t>
        </is>
      </c>
    </row>
    <row r="2">
      <c r="A2" s="2" t="inlineStr">
        <is>
          <t>Spreadsheet Interaktif untuk Validasi Perhitungan</t>
        </is>
      </c>
    </row>
    <row r="4">
      <c r="A4" s="3" t="inlineStr">
        <is>
          <t>DATA KEGIATAN</t>
        </is>
      </c>
    </row>
    <row r="5">
      <c r="A5" s="4" t="inlineStr">
        <is>
          <t>Nama Kegiatan:</t>
        </is>
      </c>
      <c r="B5" s="5" t="inlineStr">
        <is>
          <t>Raimuna Daerah</t>
        </is>
      </c>
      <c r="C5" s="6" t="n"/>
      <c r="D5" s="7" t="n"/>
    </row>
    <row r="6">
      <c r="A6" s="4" t="inlineStr">
        <is>
          <t>Tanggal:</t>
        </is>
      </c>
      <c r="B6" s="5" t="inlineStr">
        <is>
          <t>25 Januari 2026</t>
        </is>
      </c>
      <c r="C6" s="6" t="n"/>
      <c r="D6" s="7" t="n"/>
    </row>
    <row r="7">
      <c r="A7" s="4" t="inlineStr">
        <is>
          <t>Kuota Peserta:</t>
        </is>
      </c>
      <c r="B7" s="5" t="n">
        <v>5</v>
      </c>
    </row>
    <row r="9">
      <c r="A9" s="3" t="inlineStr">
        <is>
          <t>DAFTAR KRITERIA PENILAIAN</t>
        </is>
      </c>
    </row>
    <row r="10">
      <c r="A10" s="8" t="inlineStr">
        <is>
          <t>Kode</t>
        </is>
      </c>
      <c r="B10" s="8" t="inlineStr">
        <is>
          <t>Nama Kriteria</t>
        </is>
      </c>
      <c r="C10" s="8" t="inlineStr">
        <is>
          <t>Bobot (dari Sheet 2)</t>
        </is>
      </c>
    </row>
    <row r="11">
      <c r="A11" s="9" t="inlineStr">
        <is>
          <t>K1</t>
        </is>
      </c>
      <c r="B11" s="10" t="inlineStr">
        <is>
          <t>Status Keaktifan di Gugus Depan</t>
        </is>
      </c>
      <c r="C11" s="11">
        <f>'2. Bobot Kriteria'!I6</f>
        <v/>
      </c>
    </row>
    <row r="12">
      <c r="A12" s="9" t="inlineStr">
        <is>
          <t>K2</t>
        </is>
      </c>
      <c r="B12" s="10" t="inlineStr">
        <is>
          <t>Pencapaian SKU</t>
        </is>
      </c>
      <c r="C12" s="11">
        <f>'2. Bobot Kriteria'!I7</f>
        <v/>
      </c>
    </row>
    <row r="13">
      <c r="A13" s="9" t="inlineStr">
        <is>
          <t>K3</t>
        </is>
      </c>
      <c r="B13" s="10" t="inlineStr">
        <is>
          <t>Pencapaian SPG</t>
        </is>
      </c>
      <c r="C13" s="11">
        <f>'2. Bobot Kriteria'!I8</f>
        <v/>
      </c>
    </row>
    <row r="14">
      <c r="A14" s="9" t="inlineStr">
        <is>
          <t>K4</t>
        </is>
      </c>
      <c r="B14" s="10" t="inlineStr">
        <is>
          <t>Kesehatan Jasmani dan Rohani</t>
        </is>
      </c>
      <c r="C14" s="11">
        <f>'2. Bobot Kriteria'!I9</f>
        <v/>
      </c>
    </row>
    <row r="15">
      <c r="A15" s="9" t="inlineStr">
        <is>
          <t>K5</t>
        </is>
      </c>
      <c r="B15" s="10" t="inlineStr">
        <is>
          <t>Tes Wawancara</t>
        </is>
      </c>
      <c r="C15" s="11">
        <f>'2. Bobot Kriteria'!I10</f>
        <v/>
      </c>
    </row>
    <row r="16">
      <c r="A16" s="9" t="inlineStr">
        <is>
          <t>K6</t>
        </is>
      </c>
      <c r="B16" s="10" t="inlineStr">
        <is>
          <t>Tes Pilihan Ganda</t>
        </is>
      </c>
      <c r="C16" s="11">
        <f>'2. Bobot Kriteria'!I11</f>
        <v/>
      </c>
    </row>
    <row r="18">
      <c r="A18" s="3" t="inlineStr">
        <is>
          <t>DAFTAR PESERTA</t>
        </is>
      </c>
    </row>
    <row r="19">
      <c r="A19" s="8" t="inlineStr">
        <is>
          <t>No</t>
        </is>
      </c>
      <c r="B19" s="8" t="inlineStr">
        <is>
          <t>Nama Peserta</t>
        </is>
      </c>
      <c r="C19" s="8" t="inlineStr">
        <is>
          <t>Asal</t>
        </is>
      </c>
    </row>
    <row r="20">
      <c r="A20" s="10" t="n">
        <v>1</v>
      </c>
      <c r="B20" s="5" t="inlineStr">
        <is>
          <t>David Kulian</t>
        </is>
      </c>
      <c r="C20" s="5" t="inlineStr">
        <is>
          <t>Merauke</t>
        </is>
      </c>
    </row>
    <row r="21">
      <c r="A21" s="10" t="n">
        <v>2</v>
      </c>
      <c r="B21" s="5" t="inlineStr">
        <is>
          <t>Siti Aminah</t>
        </is>
      </c>
      <c r="C21" s="5" t="inlineStr">
        <is>
          <t>Jayapura</t>
        </is>
      </c>
    </row>
    <row r="22">
      <c r="A22" s="10" t="n">
        <v>3</v>
      </c>
      <c r="B22" s="5" t="inlineStr">
        <is>
          <t>Budi Santoso</t>
        </is>
      </c>
      <c r="C22" s="5" t="inlineStr">
        <is>
          <t>Sorong</t>
        </is>
      </c>
    </row>
    <row r="23">
      <c r="A23" s="10" t="n">
        <v>4</v>
      </c>
      <c r="B23" s="5" t="inlineStr">
        <is>
          <t>Dewi Lestari</t>
        </is>
      </c>
      <c r="C23" s="5" t="inlineStr">
        <is>
          <t>Manokwari</t>
        </is>
      </c>
    </row>
    <row r="24">
      <c r="A24" s="10" t="n">
        <v>5</v>
      </c>
      <c r="B24" s="5" t="inlineStr">
        <is>
          <t>Ahmad Fauzi</t>
        </is>
      </c>
      <c r="C24" s="5" t="inlineStr">
        <is>
          <t>Biak</t>
        </is>
      </c>
    </row>
    <row r="25">
      <c r="A25" s="10" t="n">
        <v>6</v>
      </c>
      <c r="B25" s="5" t="inlineStr"/>
      <c r="C25" s="5" t="inlineStr"/>
    </row>
    <row r="26">
      <c r="A26" s="10" t="n">
        <v>7</v>
      </c>
      <c r="B26" s="5" t="inlineStr"/>
      <c r="C26" s="5" t="inlineStr"/>
    </row>
    <row r="27">
      <c r="A27" s="10" t="n">
        <v>8</v>
      </c>
      <c r="B27" s="5" t="inlineStr"/>
      <c r="C27" s="5" t="inlineStr"/>
    </row>
    <row r="28">
      <c r="A28" s="10" t="n">
        <v>9</v>
      </c>
      <c r="B28" s="5" t="inlineStr"/>
      <c r="C28" s="5" t="inlineStr"/>
    </row>
    <row r="29">
      <c r="A29" s="10" t="n">
        <v>10</v>
      </c>
      <c r="B29" s="5" t="inlineStr"/>
      <c r="C29" s="5" t="inlineStr"/>
    </row>
  </sheetData>
  <mergeCells count="9">
    <mergeCell ref="A1:J1"/>
    <mergeCell ref="B5:D5"/>
    <mergeCell ref="A9:J9"/>
    <mergeCell ref="A18:J18"/>
    <mergeCell ref="A4:J4"/>
    <mergeCell ref="B10"/>
    <mergeCell ref="A2:J2"/>
    <mergeCell ref="B19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PERHITUNGAN BOBOT KRITERIA - FUZZY AHP</t>
        </is>
      </c>
    </row>
    <row r="2">
      <c r="A2" s="13" t="inlineStr">
        <is>
          <t>Masukkan nilai perbandingan berpasangan (1-9) di sel KUNING</t>
        </is>
      </c>
    </row>
    <row r="4">
      <c r="A4" s="3" t="inlineStr">
        <is>
          <t>MATRIKS PERBANDINGAN BERPASANGAN (CRISP)</t>
        </is>
      </c>
    </row>
    <row r="5">
      <c r="A5" s="8" t="inlineStr">
        <is>
          <t>Kriteria</t>
        </is>
      </c>
      <c r="B5" s="8" t="inlineStr">
        <is>
          <t>K1</t>
        </is>
      </c>
      <c r="C5" s="8" t="inlineStr">
        <is>
          <t>K2</t>
        </is>
      </c>
      <c r="D5" s="8" t="inlineStr">
        <is>
          <t>K3</t>
        </is>
      </c>
      <c r="E5" s="8" t="inlineStr">
        <is>
          <t>K4</t>
        </is>
      </c>
      <c r="F5" s="8" t="inlineStr">
        <is>
          <t>K5</t>
        </is>
      </c>
      <c r="G5" s="8" t="inlineStr">
        <is>
          <t>K6</t>
        </is>
      </c>
      <c r="H5" s="14" t="inlineStr">
        <is>
          <t>GM</t>
        </is>
      </c>
      <c r="I5" s="14" t="inlineStr">
        <is>
          <t>Bobot (Wi)</t>
        </is>
      </c>
    </row>
    <row r="6">
      <c r="A6" s="15" t="inlineStr">
        <is>
          <t>K1</t>
        </is>
      </c>
      <c r="B6" s="10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11">
        <f>(B6*C6*D6*E6*F6*G6)^(1/6)</f>
        <v/>
      </c>
      <c r="I6" s="11">
        <f>H6/$H$12</f>
        <v/>
      </c>
    </row>
    <row r="7">
      <c r="A7" s="15" t="inlineStr">
        <is>
          <t>K2</t>
        </is>
      </c>
      <c r="B7" s="16">
        <f>1/C6</f>
        <v/>
      </c>
      <c r="C7" s="10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11">
        <f>(B7*C7*D7*E7*F7*G7)^(1/6)</f>
        <v/>
      </c>
      <c r="I7" s="11">
        <f>H7/$H$12</f>
        <v/>
      </c>
    </row>
    <row r="8">
      <c r="A8" s="15" t="inlineStr">
        <is>
          <t>K3</t>
        </is>
      </c>
      <c r="B8" s="16">
        <f>1/D6</f>
        <v/>
      </c>
      <c r="C8" s="16">
        <f>1/D7</f>
        <v/>
      </c>
      <c r="D8" s="10" t="n">
        <v>1</v>
      </c>
      <c r="E8" s="5" t="n">
        <v>1</v>
      </c>
      <c r="F8" s="5" t="n">
        <v>1</v>
      </c>
      <c r="G8" s="5" t="n">
        <v>1</v>
      </c>
      <c r="H8" s="11">
        <f>(B8*C8*D8*E8*F8*G8)^(1/6)</f>
        <v/>
      </c>
      <c r="I8" s="11">
        <f>H8/$H$12</f>
        <v/>
      </c>
    </row>
    <row r="9">
      <c r="A9" s="15" t="inlineStr">
        <is>
          <t>K4</t>
        </is>
      </c>
      <c r="B9" s="16">
        <f>1/E6</f>
        <v/>
      </c>
      <c r="C9" s="16">
        <f>1/E7</f>
        <v/>
      </c>
      <c r="D9" s="16">
        <f>1/E8</f>
        <v/>
      </c>
      <c r="E9" s="10" t="n">
        <v>1</v>
      </c>
      <c r="F9" s="5" t="n">
        <v>1</v>
      </c>
      <c r="G9" s="5" t="n">
        <v>1</v>
      </c>
      <c r="H9" s="11">
        <f>(B9*C9*D9*E9*F9*G9)^(1/6)</f>
        <v/>
      </c>
      <c r="I9" s="11">
        <f>H9/$H$12</f>
        <v/>
      </c>
    </row>
    <row r="10">
      <c r="A10" s="15" t="inlineStr">
        <is>
          <t>K5</t>
        </is>
      </c>
      <c r="B10" s="16">
        <f>1/F6</f>
        <v/>
      </c>
      <c r="C10" s="16">
        <f>1/F7</f>
        <v/>
      </c>
      <c r="D10" s="16">
        <f>1/F8</f>
        <v/>
      </c>
      <c r="E10" s="16">
        <f>1/F9</f>
        <v/>
      </c>
      <c r="F10" s="10" t="n">
        <v>1</v>
      </c>
      <c r="G10" s="5" t="n">
        <v>1</v>
      </c>
      <c r="H10" s="11">
        <f>(B10*C10*D10*E10*F10*G10)^(1/6)</f>
        <v/>
      </c>
      <c r="I10" s="11">
        <f>H10/$H$12</f>
        <v/>
      </c>
    </row>
    <row r="11">
      <c r="A11" s="15" t="inlineStr">
        <is>
          <t>K6</t>
        </is>
      </c>
      <c r="B11" s="16">
        <f>1/G6</f>
        <v/>
      </c>
      <c r="C11" s="16">
        <f>1/G7</f>
        <v/>
      </c>
      <c r="D11" s="16">
        <f>1/G8</f>
        <v/>
      </c>
      <c r="E11" s="16">
        <f>1/G9</f>
        <v/>
      </c>
      <c r="F11" s="16">
        <f>1/G10</f>
        <v/>
      </c>
      <c r="G11" s="10" t="n">
        <v>1</v>
      </c>
      <c r="H11" s="11">
        <f>(B11*C11*D11*E11*F11*G11)^(1/6)</f>
        <v/>
      </c>
      <c r="I11" s="11">
        <f>H11/$H$12</f>
        <v/>
      </c>
    </row>
    <row r="12">
      <c r="G12" s="4" t="inlineStr">
        <is>
          <t>Total:</t>
        </is>
      </c>
      <c r="H12" s="17">
        <f>SUM(H6:H11)</f>
        <v/>
      </c>
      <c r="I12" s="17">
        <f>SUM(I6:I11)</f>
        <v/>
      </c>
    </row>
    <row r="14">
      <c r="A14" s="3" t="inlineStr">
        <is>
          <t>UJI KONSISTENSI</t>
        </is>
      </c>
    </row>
    <row r="15">
      <c r="A15" s="8" t="inlineStr">
        <is>
          <t>Kriteria</t>
        </is>
      </c>
      <c r="B15" s="8" t="inlineStr">
        <is>
          <t>A*w</t>
        </is>
      </c>
      <c r="C15" s="8" t="inlineStr">
        <is>
          <t>(A*w)/w</t>
        </is>
      </c>
    </row>
    <row r="16">
      <c r="A16" s="9" t="inlineStr">
        <is>
          <t>K1</t>
        </is>
      </c>
      <c r="B16" s="11">
        <f>B6*$I$6+C6*$I$7+D6*$I$8+E6*$I$9+F6*$I$10+G6*$I$11</f>
        <v/>
      </c>
      <c r="C16" s="11">
        <f>B16/$I$6</f>
        <v/>
      </c>
    </row>
    <row r="17">
      <c r="A17" s="9" t="inlineStr">
        <is>
          <t>K2</t>
        </is>
      </c>
      <c r="B17" s="11">
        <f>B7*$I$6+C7*$I$7+D7*$I$8+E7*$I$9+F7*$I$10+G7*$I$11</f>
        <v/>
      </c>
      <c r="C17" s="11">
        <f>B17/$I$7</f>
        <v/>
      </c>
    </row>
    <row r="18">
      <c r="A18" s="9" t="inlineStr">
        <is>
          <t>K3</t>
        </is>
      </c>
      <c r="B18" s="11">
        <f>B8*$I$6+C8*$I$7+D8*$I$8+E8*$I$9+F8*$I$10+G8*$I$11</f>
        <v/>
      </c>
      <c r="C18" s="11">
        <f>B18/$I$8</f>
        <v/>
      </c>
    </row>
    <row r="19">
      <c r="A19" s="9" t="inlineStr">
        <is>
          <t>K4</t>
        </is>
      </c>
      <c r="B19" s="11">
        <f>B9*$I$6+C9*$I$7+D9*$I$8+E9*$I$9+F9*$I$10+G9*$I$11</f>
        <v/>
      </c>
      <c r="C19" s="11">
        <f>B19/$I$9</f>
        <v/>
      </c>
    </row>
    <row r="20">
      <c r="A20" s="9" t="inlineStr">
        <is>
          <t>K5</t>
        </is>
      </c>
      <c r="B20" s="11">
        <f>B10*$I$6+C10*$I$7+D10*$I$8+E10*$I$9+F10*$I$10+G10*$I$11</f>
        <v/>
      </c>
      <c r="C20" s="11">
        <f>B20/$I$10</f>
        <v/>
      </c>
    </row>
    <row r="21">
      <c r="A21" s="9" t="inlineStr">
        <is>
          <t>K6</t>
        </is>
      </c>
      <c r="B21" s="11">
        <f>B11*$I$6+C11*$I$7+D11*$I$8+E11*$I$9+F11*$I$10+G11*$I$11</f>
        <v/>
      </c>
      <c r="C21" s="11">
        <f>B21/$I$11</f>
        <v/>
      </c>
    </row>
    <row r="23">
      <c r="A23" s="18" t="inlineStr">
        <is>
          <t>Lambda Max:</t>
        </is>
      </c>
      <c r="B23" s="19">
        <f>AVERAGE(C16:C21)</f>
        <v/>
      </c>
    </row>
    <row r="24">
      <c r="A24" s="18" t="inlineStr">
        <is>
          <t>CI:</t>
        </is>
      </c>
      <c r="B24" s="11">
        <f>(B23-6)/5</f>
        <v/>
      </c>
    </row>
    <row r="25">
      <c r="A25" s="18" t="inlineStr">
        <is>
          <t>RI (n=6):</t>
        </is>
      </c>
      <c r="B25" s="10" t="n">
        <v>1.24</v>
      </c>
    </row>
    <row r="26">
      <c r="A26" s="18" t="inlineStr">
        <is>
          <t>CR:</t>
        </is>
      </c>
      <c r="B26" s="19">
        <f>B24/B25</f>
        <v/>
      </c>
    </row>
    <row r="27">
      <c r="A27" s="18" t="inlineStr">
        <is>
          <t>Status:</t>
        </is>
      </c>
      <c r="B27" s="10">
        <f>IF(B26&lt;=0.1,"KONSISTEN","TIDAK KONSISTEN")</f>
        <v/>
      </c>
      <c r="C27" s="7" t="n"/>
    </row>
  </sheetData>
  <mergeCells count="5">
    <mergeCell ref="A1:J1"/>
    <mergeCell ref="A14:J14"/>
    <mergeCell ref="A4:J4"/>
    <mergeCell ref="A2:J2"/>
    <mergeCell ref="B27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INPUT NILAI PESERTA PER KRITERIA</t>
        </is>
      </c>
    </row>
    <row r="2">
      <c r="A2" s="13" t="inlineStr">
        <is>
          <t>Masukkan nilai 0-100 untuk setiap kriteria di sel KUNING</t>
        </is>
      </c>
    </row>
    <row r="4">
      <c r="A4" s="3" t="inlineStr">
        <is>
          <t>NILAI PESERTA</t>
        </is>
      </c>
    </row>
    <row r="5">
      <c r="A5" s="8" t="inlineStr">
        <is>
          <t>No</t>
        </is>
      </c>
      <c r="B5" s="8" t="inlineStr">
        <is>
          <t>Nama Peserta</t>
        </is>
      </c>
      <c r="C5" s="8" t="inlineStr">
        <is>
          <t>K1</t>
        </is>
      </c>
      <c r="D5" s="8" t="inlineStr">
        <is>
          <t>K2</t>
        </is>
      </c>
      <c r="E5" s="8" t="inlineStr">
        <is>
          <t>K3</t>
        </is>
      </c>
      <c r="F5" s="8" t="inlineStr">
        <is>
          <t>K4</t>
        </is>
      </c>
      <c r="G5" s="8" t="inlineStr">
        <is>
          <t>K5</t>
        </is>
      </c>
      <c r="H5" s="8" t="inlineStr">
        <is>
          <t>K6</t>
        </is>
      </c>
    </row>
    <row r="6">
      <c r="A6" s="10" t="n">
        <v>1</v>
      </c>
      <c r="B6" s="9">
        <f>'1. Data Input'!B20</f>
        <v/>
      </c>
      <c r="C6" s="5" t="n">
        <v>85</v>
      </c>
      <c r="D6" s="5" t="n">
        <v>90</v>
      </c>
      <c r="E6" s="5" t="n">
        <v>88</v>
      </c>
      <c r="F6" s="5" t="n">
        <v>92</v>
      </c>
      <c r="G6" s="5" t="n">
        <v>87</v>
      </c>
      <c r="H6" s="5" t="n">
        <v>85</v>
      </c>
    </row>
    <row r="7">
      <c r="A7" s="10" t="n">
        <v>2</v>
      </c>
      <c r="B7" s="9">
        <f>'1. Data Input'!B21</f>
        <v/>
      </c>
      <c r="C7" s="5" t="n">
        <v>78</v>
      </c>
      <c r="D7" s="5" t="n">
        <v>85</v>
      </c>
      <c r="E7" s="5" t="n">
        <v>82</v>
      </c>
      <c r="F7" s="5" t="n">
        <v>88</v>
      </c>
      <c r="G7" s="5" t="n">
        <v>80</v>
      </c>
      <c r="H7" s="5" t="n">
        <v>78</v>
      </c>
    </row>
    <row r="8">
      <c r="A8" s="10" t="n">
        <v>3</v>
      </c>
      <c r="B8" s="9">
        <f>'1. Data Input'!B22</f>
        <v/>
      </c>
      <c r="C8" s="5" t="n">
        <v>92</v>
      </c>
      <c r="D8" s="5" t="n">
        <v>88</v>
      </c>
      <c r="E8" s="5" t="n">
        <v>90</v>
      </c>
      <c r="F8" s="5" t="n">
        <v>85</v>
      </c>
      <c r="G8" s="5" t="n">
        <v>88</v>
      </c>
      <c r="H8" s="5" t="n">
        <v>90</v>
      </c>
    </row>
    <row r="9">
      <c r="A9" s="10" t="n">
        <v>4</v>
      </c>
      <c r="B9" s="9">
        <f>'1. Data Input'!B23</f>
        <v/>
      </c>
      <c r="C9" s="5" t="n">
        <v>80</v>
      </c>
      <c r="D9" s="5" t="n">
        <v>82</v>
      </c>
      <c r="E9" s="5" t="n">
        <v>85</v>
      </c>
      <c r="F9" s="5" t="n">
        <v>90</v>
      </c>
      <c r="G9" s="5" t="n">
        <v>82</v>
      </c>
      <c r="H9" s="5" t="n">
        <v>80</v>
      </c>
    </row>
    <row r="10">
      <c r="A10" s="10" t="n">
        <v>5</v>
      </c>
      <c r="B10" s="9">
        <f>'1. Data Input'!B24</f>
        <v/>
      </c>
      <c r="C10" s="5" t="n">
        <v>88</v>
      </c>
      <c r="D10" s="5" t="n">
        <v>92</v>
      </c>
      <c r="E10" s="5" t="n">
        <v>87</v>
      </c>
      <c r="F10" s="5" t="n">
        <v>80</v>
      </c>
      <c r="G10" s="5" t="n">
        <v>90</v>
      </c>
      <c r="H10" s="5" t="n">
        <v>88</v>
      </c>
    </row>
    <row r="11">
      <c r="A11" s="10" t="n">
        <v>6</v>
      </c>
      <c r="B11" s="9">
        <f>'1. Data Input'!B25</f>
        <v/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</row>
    <row r="12">
      <c r="A12" s="10" t="n">
        <v>7</v>
      </c>
      <c r="B12" s="9">
        <f>'1. Data Input'!B26</f>
        <v/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10" t="n">
        <v>8</v>
      </c>
      <c r="B13" s="9">
        <f>'1. Data Input'!B27</f>
        <v/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</row>
    <row r="14">
      <c r="A14" s="10" t="n">
        <v>9</v>
      </c>
      <c r="B14" s="9">
        <f>'1. Data Input'!B28</f>
        <v/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</row>
    <row r="15">
      <c r="A15" s="10" t="n">
        <v>10</v>
      </c>
      <c r="B15" s="9">
        <f>'1. Data Input'!B29</f>
        <v/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</row>
  </sheetData>
  <mergeCells count="3">
    <mergeCell ref="A4:H4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2" t="inlineStr">
        <is>
          <t>PERHITUNGAN SKOR AKHIR &amp; RANKING</t>
        </is>
      </c>
    </row>
    <row r="2">
      <c r="A2" s="20" t="inlineStr">
        <is>
          <t>Skor Akhir = Σ (Nilai × Bobot)</t>
        </is>
      </c>
    </row>
    <row r="4">
      <c r="A4" s="3" t="inlineStr">
        <is>
          <t>BOBOT KRITERIA (dari Sheet 2)</t>
        </is>
      </c>
    </row>
    <row r="5">
      <c r="A5" s="8" t="inlineStr">
        <is>
          <t>K1</t>
        </is>
      </c>
      <c r="B5" s="8" t="inlineStr">
        <is>
          <t>K2</t>
        </is>
      </c>
      <c r="C5" s="8" t="inlineStr">
        <is>
          <t>K3</t>
        </is>
      </c>
      <c r="D5" s="8" t="inlineStr">
        <is>
          <t>K4</t>
        </is>
      </c>
      <c r="E5" s="8" t="inlineStr">
        <is>
          <t>K5</t>
        </is>
      </c>
      <c r="F5" s="8" t="inlineStr">
        <is>
          <t>K6</t>
        </is>
      </c>
    </row>
    <row r="6">
      <c r="A6" s="11">
        <f>'2. Bobot Kriteria'!I6</f>
        <v/>
      </c>
      <c r="B6" s="11">
        <f>'2. Bobot Kriteria'!I7</f>
        <v/>
      </c>
      <c r="C6" s="11">
        <f>'2. Bobot Kriteria'!I8</f>
        <v/>
      </c>
      <c r="D6" s="11">
        <f>'2. Bobot Kriteria'!I9</f>
        <v/>
      </c>
      <c r="E6" s="11">
        <f>'2. Bobot Kriteria'!I10</f>
        <v/>
      </c>
      <c r="F6" s="11">
        <f>'2. Bobot Kriteria'!I11</f>
        <v/>
      </c>
    </row>
    <row r="8">
      <c r="A8" s="3" t="inlineStr">
        <is>
          <t>PERHITUNGAN SKOR AKHIR</t>
        </is>
      </c>
    </row>
    <row r="9">
      <c r="A9" s="8" t="inlineStr">
        <is>
          <t>No</t>
        </is>
      </c>
      <c r="B9" s="8" t="inlineStr">
        <is>
          <t>Nama Peserta</t>
        </is>
      </c>
      <c r="C9" s="8" t="inlineStr">
        <is>
          <t>K1×W1</t>
        </is>
      </c>
      <c r="D9" s="8" t="inlineStr">
        <is>
          <t>K2×W2</t>
        </is>
      </c>
      <c r="E9" s="8" t="inlineStr">
        <is>
          <t>K3×W3</t>
        </is>
      </c>
      <c r="F9" s="8" t="inlineStr">
        <is>
          <t>K4×W4</t>
        </is>
      </c>
      <c r="G9" s="8" t="inlineStr">
        <is>
          <t>K5×W5</t>
        </is>
      </c>
      <c r="H9" s="8" t="inlineStr">
        <is>
          <t>K6×W6</t>
        </is>
      </c>
      <c r="I9" s="21" t="inlineStr">
        <is>
          <t>Skor Akhir</t>
        </is>
      </c>
      <c r="J9" s="21" t="inlineStr">
        <is>
          <t>Ranking</t>
        </is>
      </c>
    </row>
    <row r="10">
      <c r="A10" s="10" t="n">
        <v>1</v>
      </c>
      <c r="B10" s="9">
        <f>'1. Data Input'!B20</f>
        <v/>
      </c>
      <c r="C10" s="22">
        <f>'3. Nilai Peserta'!C6*$A$6</f>
        <v/>
      </c>
      <c r="D10" s="22">
        <f>'3. Nilai Peserta'!D6*$B$6</f>
        <v/>
      </c>
      <c r="E10" s="22">
        <f>'3. Nilai Peserta'!E6*$C$6</f>
        <v/>
      </c>
      <c r="F10" s="22">
        <f>'3. Nilai Peserta'!F6*$D$6</f>
        <v/>
      </c>
      <c r="G10" s="22">
        <f>'3. Nilai Peserta'!G6*$E$6</f>
        <v/>
      </c>
      <c r="H10" s="22">
        <f>'3. Nilai Peserta'!H6*$F$6</f>
        <v/>
      </c>
      <c r="I10" s="23">
        <f>SUM(C10:H10)</f>
        <v/>
      </c>
      <c r="J10" s="17">
        <f>IF(B10="","",RANK(I10,$I$10:$I$19,0))</f>
        <v/>
      </c>
    </row>
    <row r="11">
      <c r="A11" s="10" t="n">
        <v>2</v>
      </c>
      <c r="B11" s="9">
        <f>'1. Data Input'!B21</f>
        <v/>
      </c>
      <c r="C11" s="22">
        <f>'3. Nilai Peserta'!C7*$A$6</f>
        <v/>
      </c>
      <c r="D11" s="22">
        <f>'3. Nilai Peserta'!D7*$B$6</f>
        <v/>
      </c>
      <c r="E11" s="22">
        <f>'3. Nilai Peserta'!E7*$C$6</f>
        <v/>
      </c>
      <c r="F11" s="22">
        <f>'3. Nilai Peserta'!F7*$D$6</f>
        <v/>
      </c>
      <c r="G11" s="22">
        <f>'3. Nilai Peserta'!G7*$E$6</f>
        <v/>
      </c>
      <c r="H11" s="22">
        <f>'3. Nilai Peserta'!H7*$F$6</f>
        <v/>
      </c>
      <c r="I11" s="23">
        <f>SUM(C11:H11)</f>
        <v/>
      </c>
      <c r="J11" s="17">
        <f>IF(B11="","",RANK(I11,$I$10:$I$19,0))</f>
        <v/>
      </c>
    </row>
    <row r="12">
      <c r="A12" s="10" t="n">
        <v>3</v>
      </c>
      <c r="B12" s="9">
        <f>'1. Data Input'!B22</f>
        <v/>
      </c>
      <c r="C12" s="22">
        <f>'3. Nilai Peserta'!C8*$A$6</f>
        <v/>
      </c>
      <c r="D12" s="22">
        <f>'3. Nilai Peserta'!D8*$B$6</f>
        <v/>
      </c>
      <c r="E12" s="22">
        <f>'3. Nilai Peserta'!E8*$C$6</f>
        <v/>
      </c>
      <c r="F12" s="22">
        <f>'3. Nilai Peserta'!F8*$D$6</f>
        <v/>
      </c>
      <c r="G12" s="22">
        <f>'3. Nilai Peserta'!G8*$E$6</f>
        <v/>
      </c>
      <c r="H12" s="22">
        <f>'3. Nilai Peserta'!H8*$F$6</f>
        <v/>
      </c>
      <c r="I12" s="23">
        <f>SUM(C12:H12)</f>
        <v/>
      </c>
      <c r="J12" s="17">
        <f>IF(B12="","",RANK(I12,$I$10:$I$19,0))</f>
        <v/>
      </c>
    </row>
    <row r="13">
      <c r="A13" s="10" t="n">
        <v>4</v>
      </c>
      <c r="B13" s="9">
        <f>'1. Data Input'!B23</f>
        <v/>
      </c>
      <c r="C13" s="22">
        <f>'3. Nilai Peserta'!C9*$A$6</f>
        <v/>
      </c>
      <c r="D13" s="22">
        <f>'3. Nilai Peserta'!D9*$B$6</f>
        <v/>
      </c>
      <c r="E13" s="22">
        <f>'3. Nilai Peserta'!E9*$C$6</f>
        <v/>
      </c>
      <c r="F13" s="22">
        <f>'3. Nilai Peserta'!F9*$D$6</f>
        <v/>
      </c>
      <c r="G13" s="22">
        <f>'3. Nilai Peserta'!G9*$E$6</f>
        <v/>
      </c>
      <c r="H13" s="22">
        <f>'3. Nilai Peserta'!H9*$F$6</f>
        <v/>
      </c>
      <c r="I13" s="23">
        <f>SUM(C13:H13)</f>
        <v/>
      </c>
      <c r="J13" s="17">
        <f>IF(B13="","",RANK(I13,$I$10:$I$19,0))</f>
        <v/>
      </c>
    </row>
    <row r="14">
      <c r="A14" s="10" t="n">
        <v>5</v>
      </c>
      <c r="B14" s="9">
        <f>'1. Data Input'!B24</f>
        <v/>
      </c>
      <c r="C14" s="22">
        <f>'3. Nilai Peserta'!C10*$A$6</f>
        <v/>
      </c>
      <c r="D14" s="22">
        <f>'3. Nilai Peserta'!D10*$B$6</f>
        <v/>
      </c>
      <c r="E14" s="22">
        <f>'3. Nilai Peserta'!E10*$C$6</f>
        <v/>
      </c>
      <c r="F14" s="22">
        <f>'3. Nilai Peserta'!F10*$D$6</f>
        <v/>
      </c>
      <c r="G14" s="22">
        <f>'3. Nilai Peserta'!G10*$E$6</f>
        <v/>
      </c>
      <c r="H14" s="22">
        <f>'3. Nilai Peserta'!H10*$F$6</f>
        <v/>
      </c>
      <c r="I14" s="23">
        <f>SUM(C14:H14)</f>
        <v/>
      </c>
      <c r="J14" s="17">
        <f>IF(B14="","",RANK(I14,$I$10:$I$19,0))</f>
        <v/>
      </c>
    </row>
    <row r="15">
      <c r="A15" s="10" t="n">
        <v>6</v>
      </c>
      <c r="B15" s="9">
        <f>'1. Data Input'!B25</f>
        <v/>
      </c>
      <c r="C15" s="22">
        <f>'3. Nilai Peserta'!C11*$A$6</f>
        <v/>
      </c>
      <c r="D15" s="22">
        <f>'3. Nilai Peserta'!D11*$B$6</f>
        <v/>
      </c>
      <c r="E15" s="22">
        <f>'3. Nilai Peserta'!E11*$C$6</f>
        <v/>
      </c>
      <c r="F15" s="22">
        <f>'3. Nilai Peserta'!F11*$D$6</f>
        <v/>
      </c>
      <c r="G15" s="22">
        <f>'3. Nilai Peserta'!G11*$E$6</f>
        <v/>
      </c>
      <c r="H15" s="22">
        <f>'3. Nilai Peserta'!H11*$F$6</f>
        <v/>
      </c>
      <c r="I15" s="23">
        <f>SUM(C15:H15)</f>
        <v/>
      </c>
      <c r="J15" s="17">
        <f>IF(B15="","",RANK(I15,$I$10:$I$19,0))</f>
        <v/>
      </c>
    </row>
    <row r="16">
      <c r="A16" s="10" t="n">
        <v>7</v>
      </c>
      <c r="B16" s="9">
        <f>'1. Data Input'!B26</f>
        <v/>
      </c>
      <c r="C16" s="22">
        <f>'3. Nilai Peserta'!C12*$A$6</f>
        <v/>
      </c>
      <c r="D16" s="22">
        <f>'3. Nilai Peserta'!D12*$B$6</f>
        <v/>
      </c>
      <c r="E16" s="22">
        <f>'3. Nilai Peserta'!E12*$C$6</f>
        <v/>
      </c>
      <c r="F16" s="22">
        <f>'3. Nilai Peserta'!F12*$D$6</f>
        <v/>
      </c>
      <c r="G16" s="22">
        <f>'3. Nilai Peserta'!G12*$E$6</f>
        <v/>
      </c>
      <c r="H16" s="22">
        <f>'3. Nilai Peserta'!H12*$F$6</f>
        <v/>
      </c>
      <c r="I16" s="23">
        <f>SUM(C16:H16)</f>
        <v/>
      </c>
      <c r="J16" s="17">
        <f>IF(B16="","",RANK(I16,$I$10:$I$19,0))</f>
        <v/>
      </c>
    </row>
    <row r="17">
      <c r="A17" s="10" t="n">
        <v>8</v>
      </c>
      <c r="B17" s="9">
        <f>'1. Data Input'!B27</f>
        <v/>
      </c>
      <c r="C17" s="22">
        <f>'3. Nilai Peserta'!C13*$A$6</f>
        <v/>
      </c>
      <c r="D17" s="22">
        <f>'3. Nilai Peserta'!D13*$B$6</f>
        <v/>
      </c>
      <c r="E17" s="22">
        <f>'3. Nilai Peserta'!E13*$C$6</f>
        <v/>
      </c>
      <c r="F17" s="22">
        <f>'3. Nilai Peserta'!F13*$D$6</f>
        <v/>
      </c>
      <c r="G17" s="22">
        <f>'3. Nilai Peserta'!G13*$E$6</f>
        <v/>
      </c>
      <c r="H17" s="22">
        <f>'3. Nilai Peserta'!H13*$F$6</f>
        <v/>
      </c>
      <c r="I17" s="23">
        <f>SUM(C17:H17)</f>
        <v/>
      </c>
      <c r="J17" s="17">
        <f>IF(B17="","",RANK(I17,$I$10:$I$19,0))</f>
        <v/>
      </c>
    </row>
    <row r="18">
      <c r="A18" s="10" t="n">
        <v>9</v>
      </c>
      <c r="B18" s="9">
        <f>'1. Data Input'!B28</f>
        <v/>
      </c>
      <c r="C18" s="22">
        <f>'3. Nilai Peserta'!C14*$A$6</f>
        <v/>
      </c>
      <c r="D18" s="22">
        <f>'3. Nilai Peserta'!D14*$B$6</f>
        <v/>
      </c>
      <c r="E18" s="22">
        <f>'3. Nilai Peserta'!E14*$C$6</f>
        <v/>
      </c>
      <c r="F18" s="22">
        <f>'3. Nilai Peserta'!F14*$D$6</f>
        <v/>
      </c>
      <c r="G18" s="22">
        <f>'3. Nilai Peserta'!G14*$E$6</f>
        <v/>
      </c>
      <c r="H18" s="22">
        <f>'3. Nilai Peserta'!H14*$F$6</f>
        <v/>
      </c>
      <c r="I18" s="23">
        <f>SUM(C18:H18)</f>
        <v/>
      </c>
      <c r="J18" s="17">
        <f>IF(B18="","",RANK(I18,$I$10:$I$19,0))</f>
        <v/>
      </c>
    </row>
    <row r="19">
      <c r="A19" s="10" t="n">
        <v>10</v>
      </c>
      <c r="B19" s="9">
        <f>'1. Data Input'!B29</f>
        <v/>
      </c>
      <c r="C19" s="22">
        <f>'3. Nilai Peserta'!C15*$A$6</f>
        <v/>
      </c>
      <c r="D19" s="22">
        <f>'3. Nilai Peserta'!D15*$B$6</f>
        <v/>
      </c>
      <c r="E19" s="22">
        <f>'3. Nilai Peserta'!E15*$C$6</f>
        <v/>
      </c>
      <c r="F19" s="22">
        <f>'3. Nilai Peserta'!F15*$D$6</f>
        <v/>
      </c>
      <c r="G19" s="22">
        <f>'3. Nilai Peserta'!G15*$E$6</f>
        <v/>
      </c>
      <c r="H19" s="22">
        <f>'3. Nilai Peserta'!H15*$F$6</f>
        <v/>
      </c>
      <c r="I19" s="23">
        <f>SUM(C19:H19)</f>
        <v/>
      </c>
      <c r="J19" s="17">
        <f>IF(B19="","",RANK(I19,$I$10:$I$19,0))</f>
        <v/>
      </c>
    </row>
    <row r="22">
      <c r="A22" s="3" t="inlineStr">
        <is>
          <t>HASIL RANKING FINAL</t>
        </is>
      </c>
    </row>
    <row r="23">
      <c r="A23" s="21" t="inlineStr">
        <is>
          <t>Ranking</t>
        </is>
      </c>
      <c r="B23" s="21" t="inlineStr">
        <is>
          <t>Nama Peserta</t>
        </is>
      </c>
      <c r="C23" s="21" t="inlineStr">
        <is>
          <t>Skor Akhir</t>
        </is>
      </c>
      <c r="D23" s="21" t="inlineStr">
        <is>
          <t>Status</t>
        </is>
      </c>
    </row>
    <row r="24">
      <c r="A24" s="24" t="n">
        <v>1</v>
      </c>
      <c r="B24" s="10">
        <f>IFERROR(INDEX(B10:B19,MATCH(1,J10:J19,0)),"")</f>
        <v/>
      </c>
      <c r="C24" s="25">
        <f>IFERROR(INDEX(I10:I19,MATCH(1,J10:J19,0)),"")</f>
        <v/>
      </c>
      <c r="D24" s="10">
        <f>IF(A24&lt;="'1. Data Input'!B8","LOLOS","TIDAK LOLOS")</f>
        <v/>
      </c>
    </row>
    <row r="25">
      <c r="A25" s="24" t="n">
        <v>2</v>
      </c>
      <c r="B25" s="10">
        <f>IFERROR(INDEX(B10:B19,MATCH(2,J10:J19,0)),"")</f>
        <v/>
      </c>
      <c r="C25" s="25">
        <f>IFERROR(INDEX(I10:I19,MATCH(2,J10:J19,0)),"")</f>
        <v/>
      </c>
      <c r="D25" s="10">
        <f>IF(A25&lt;="'1. Data Input'!B8","LOLOS","TIDAK LOLOS")</f>
        <v/>
      </c>
    </row>
    <row r="26">
      <c r="A26" s="24" t="n">
        <v>3</v>
      </c>
      <c r="B26" s="10">
        <f>IFERROR(INDEX(B10:B19,MATCH(3,J10:J19,0)),"")</f>
        <v/>
      </c>
      <c r="C26" s="25">
        <f>IFERROR(INDEX(I10:I19,MATCH(3,J10:J19,0)),"")</f>
        <v/>
      </c>
      <c r="D26" s="10">
        <f>IF(A26&lt;="'1. Data Input'!B8","LOLOS","TIDAK LOLOS")</f>
        <v/>
      </c>
    </row>
    <row r="27">
      <c r="A27" s="24" t="n">
        <v>4</v>
      </c>
      <c r="B27" s="10">
        <f>IFERROR(INDEX(B10:B19,MATCH(4,J10:J19,0)),"")</f>
        <v/>
      </c>
      <c r="C27" s="25">
        <f>IFERROR(INDEX(I10:I19,MATCH(4,J10:J19,0)),"")</f>
        <v/>
      </c>
      <c r="D27" s="10">
        <f>IF(A27&lt;="'1. Data Input'!B8","LOLOS","TIDAK LOLOS")</f>
        <v/>
      </c>
    </row>
    <row r="28">
      <c r="A28" s="24" t="n">
        <v>5</v>
      </c>
      <c r="B28" s="10">
        <f>IFERROR(INDEX(B10:B19,MATCH(5,J10:J19,0)),"")</f>
        <v/>
      </c>
      <c r="C28" s="25">
        <f>IFERROR(INDEX(I10:I19,MATCH(5,J10:J19,0)),"")</f>
        <v/>
      </c>
      <c r="D28" s="10">
        <f>IF(A28&lt;="'1. Data Input'!B8","LOLOS","TIDAK LOLOS")</f>
        <v/>
      </c>
    </row>
    <row r="29">
      <c r="A29" s="24" t="n">
        <v>6</v>
      </c>
      <c r="B29" s="10">
        <f>IFERROR(INDEX(B10:B19,MATCH(6,J10:J19,0)),"")</f>
        <v/>
      </c>
      <c r="C29" s="25">
        <f>IFERROR(INDEX(I10:I19,MATCH(6,J10:J19,0)),"")</f>
        <v/>
      </c>
      <c r="D29" s="10">
        <f>IF(A29&lt;="'1. Data Input'!B8","LOLOS","TIDAK LOLOS")</f>
        <v/>
      </c>
    </row>
    <row r="30">
      <c r="A30" s="24" t="n">
        <v>7</v>
      </c>
      <c r="B30" s="10">
        <f>IFERROR(INDEX(B10:B19,MATCH(7,J10:J19,0)),"")</f>
        <v/>
      </c>
      <c r="C30" s="25">
        <f>IFERROR(INDEX(I10:I19,MATCH(7,J10:J19,0)),"")</f>
        <v/>
      </c>
      <c r="D30" s="10">
        <f>IF(A30&lt;="'1. Data Input'!B8","LOLOS","TIDAK LOLOS")</f>
        <v/>
      </c>
    </row>
    <row r="31">
      <c r="A31" s="24" t="n">
        <v>8</v>
      </c>
      <c r="B31" s="10">
        <f>IFERROR(INDEX(B10:B19,MATCH(8,J10:J19,0)),"")</f>
        <v/>
      </c>
      <c r="C31" s="25">
        <f>IFERROR(INDEX(I10:I19,MATCH(8,J10:J19,0)),"")</f>
        <v/>
      </c>
      <c r="D31" s="10">
        <f>IF(A31&lt;="'1. Data Input'!B8","LOLOS","TIDAK LOLOS")</f>
        <v/>
      </c>
    </row>
    <row r="32">
      <c r="A32" s="24" t="n">
        <v>9</v>
      </c>
      <c r="B32" s="10">
        <f>IFERROR(INDEX(B10:B19,MATCH(9,J10:J19,0)),"")</f>
        <v/>
      </c>
      <c r="C32" s="25">
        <f>IFERROR(INDEX(I10:I19,MATCH(9,J10:J19,0)),"")</f>
        <v/>
      </c>
      <c r="D32" s="10">
        <f>IF(A32&lt;="'1. Data Input'!B8","LOLOS","TIDAK LOLOS")</f>
        <v/>
      </c>
    </row>
    <row r="33">
      <c r="A33" s="24" t="n">
        <v>10</v>
      </c>
      <c r="B33" s="10">
        <f>IFERROR(INDEX(B10:B19,MATCH(10,J10:J19,0)),"")</f>
        <v/>
      </c>
      <c r="C33" s="25">
        <f>IFERROR(INDEX(I10:I19,MATCH(10,J10:J19,0)),"")</f>
        <v/>
      </c>
      <c r="D33" s="10">
        <f>IF(A33&lt;="'1. Data Input'!B8","LOLOS","TIDAK LOLOS")</f>
        <v/>
      </c>
    </row>
  </sheetData>
  <mergeCells count="5">
    <mergeCell ref="A2:L2"/>
    <mergeCell ref="A8:J8"/>
    <mergeCell ref="A22:D22"/>
    <mergeCell ref="A1:L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2" t="inlineStr">
        <is>
          <t>TABEL REFERENSI</t>
        </is>
      </c>
    </row>
    <row r="3">
      <c r="A3" s="3" t="inlineStr">
        <is>
          <t>SKALA PERBANDINGAN SAATY</t>
        </is>
      </c>
    </row>
    <row r="4">
      <c r="A4" s="8" t="inlineStr">
        <is>
          <t>Nilai</t>
        </is>
      </c>
      <c r="B4" s="8" t="inlineStr">
        <is>
          <t>Definisi</t>
        </is>
      </c>
      <c r="C4" s="6" t="n"/>
      <c r="D4" s="6" t="n"/>
      <c r="E4" s="7" t="n"/>
    </row>
    <row r="5">
      <c r="A5" s="10" t="n">
        <v>1</v>
      </c>
      <c r="B5" s="10" t="inlineStr">
        <is>
          <t>Kedua elemen sama penting</t>
        </is>
      </c>
      <c r="C5" s="6" t="n"/>
      <c r="D5" s="6" t="n"/>
      <c r="E5" s="7" t="n"/>
    </row>
    <row r="6">
      <c r="A6" s="10" t="n">
        <v>3</v>
      </c>
      <c r="B6" s="10" t="inlineStr">
        <is>
          <t>Elemen satu sedikit lebih penting</t>
        </is>
      </c>
      <c r="C6" s="6" t="n"/>
      <c r="D6" s="6" t="n"/>
      <c r="E6" s="7" t="n"/>
    </row>
    <row r="7">
      <c r="A7" s="10" t="n">
        <v>5</v>
      </c>
      <c r="B7" s="10" t="inlineStr">
        <is>
          <t>Elemen satu lebih penting</t>
        </is>
      </c>
      <c r="C7" s="6" t="n"/>
      <c r="D7" s="6" t="n"/>
      <c r="E7" s="7" t="n"/>
    </row>
    <row r="8">
      <c r="A8" s="10" t="n">
        <v>7</v>
      </c>
      <c r="B8" s="10" t="inlineStr">
        <is>
          <t>Satu elemen jelas lebih penting</t>
        </is>
      </c>
      <c r="C8" s="6" t="n"/>
      <c r="D8" s="6" t="n"/>
      <c r="E8" s="7" t="n"/>
    </row>
    <row r="9">
      <c r="A9" s="10" t="n">
        <v>9</v>
      </c>
      <c r="B9" s="10" t="inlineStr">
        <is>
          <t>Satu elemen mutlak lebih penting</t>
        </is>
      </c>
      <c r="C9" s="6" t="n"/>
      <c r="D9" s="6" t="n"/>
      <c r="E9" s="7" t="n"/>
    </row>
    <row r="10">
      <c r="A10" s="10" t="inlineStr">
        <is>
          <t>2,4,6,8</t>
        </is>
      </c>
      <c r="B10" s="10" t="inlineStr">
        <is>
          <t>Nilai antara dua penilaian berdekatan</t>
        </is>
      </c>
      <c r="C10" s="6" t="n"/>
      <c r="D10" s="6" t="n"/>
      <c r="E10" s="7" t="n"/>
    </row>
    <row r="12">
      <c r="A12" s="3" t="inlineStr">
        <is>
          <t>SKALA FUZZY (TFN)</t>
        </is>
      </c>
    </row>
    <row r="13">
      <c r="A13" s="8" t="inlineStr">
        <is>
          <t>Nilai</t>
        </is>
      </c>
      <c r="B13" s="8" t="inlineStr">
        <is>
          <t>l</t>
        </is>
      </c>
      <c r="C13" s="8" t="inlineStr">
        <is>
          <t>m</t>
        </is>
      </c>
      <c r="D13" s="8" t="inlineStr">
        <is>
          <t>u</t>
        </is>
      </c>
    </row>
    <row r="14">
      <c r="A14" s="10" t="n">
        <v>1</v>
      </c>
      <c r="B14" s="10" t="n">
        <v>1</v>
      </c>
      <c r="C14" s="10" t="n">
        <v>1</v>
      </c>
      <c r="D14" s="10" t="n">
        <v>1</v>
      </c>
    </row>
    <row r="15">
      <c r="A15" s="10" t="n">
        <v>2</v>
      </c>
      <c r="B15" s="10" t="n">
        <v>0.5</v>
      </c>
      <c r="C15" s="10" t="n">
        <v>1</v>
      </c>
      <c r="D15" s="10" t="n">
        <v>1.5</v>
      </c>
    </row>
    <row r="16">
      <c r="A16" s="10" t="n">
        <v>3</v>
      </c>
      <c r="B16" s="10" t="n">
        <v>1</v>
      </c>
      <c r="C16" s="10" t="n">
        <v>1.5</v>
      </c>
      <c r="D16" s="10" t="n">
        <v>2</v>
      </c>
    </row>
    <row r="17">
      <c r="A17" s="10" t="n">
        <v>4</v>
      </c>
      <c r="B17" s="10" t="n">
        <v>1.5</v>
      </c>
      <c r="C17" s="10" t="n">
        <v>2</v>
      </c>
      <c r="D17" s="10" t="n">
        <v>2.5</v>
      </c>
    </row>
    <row r="18">
      <c r="A18" s="10" t="n">
        <v>5</v>
      </c>
      <c r="B18" s="10" t="n">
        <v>2</v>
      </c>
      <c r="C18" s="10" t="n">
        <v>2.5</v>
      </c>
      <c r="D18" s="10" t="n">
        <v>3</v>
      </c>
    </row>
    <row r="19">
      <c r="A19" s="10" t="n">
        <v>6</v>
      </c>
      <c r="B19" s="10" t="n">
        <v>2.5</v>
      </c>
      <c r="C19" s="10" t="n">
        <v>3</v>
      </c>
      <c r="D19" s="10" t="n">
        <v>3.5</v>
      </c>
    </row>
    <row r="20">
      <c r="A20" s="10" t="n">
        <v>7</v>
      </c>
      <c r="B20" s="10" t="n">
        <v>3</v>
      </c>
      <c r="C20" s="10" t="n">
        <v>3.5</v>
      </c>
      <c r="D20" s="10" t="n">
        <v>4</v>
      </c>
    </row>
    <row r="21">
      <c r="A21" s="10" t="n">
        <v>8</v>
      </c>
      <c r="B21" s="10" t="n">
        <v>3.5</v>
      </c>
      <c r="C21" s="10" t="n">
        <v>4</v>
      </c>
      <c r="D21" s="10" t="n">
        <v>4.5</v>
      </c>
    </row>
    <row r="22">
      <c r="A22" s="10" t="n">
        <v>9</v>
      </c>
      <c r="B22" s="10" t="n">
        <v>4</v>
      </c>
      <c r="C22" s="10" t="n">
        <v>4.5</v>
      </c>
      <c r="D22" s="10" t="n">
        <v>4.5</v>
      </c>
    </row>
    <row r="24">
      <c r="A24" s="3" t="inlineStr">
        <is>
          <t>RANDOM INDEX (RI)</t>
        </is>
      </c>
    </row>
    <row r="25">
      <c r="A25" s="8" t="inlineStr">
        <is>
          <t>n</t>
        </is>
      </c>
      <c r="B25" s="8" t="n">
        <v>1</v>
      </c>
      <c r="C25" s="8" t="n">
        <v>2</v>
      </c>
      <c r="D25" s="8" t="n">
        <v>3</v>
      </c>
      <c r="E25" s="8" t="n">
        <v>4</v>
      </c>
      <c r="F25" s="8" t="n">
        <v>5</v>
      </c>
      <c r="G25" s="8" t="n">
        <v>6</v>
      </c>
      <c r="H25" s="8" t="n">
        <v>7</v>
      </c>
      <c r="I25" s="8" t="n">
        <v>8</v>
      </c>
      <c r="J25" s="8" t="n">
        <v>9</v>
      </c>
      <c r="K25" s="8" t="n">
        <v>10</v>
      </c>
    </row>
    <row r="26">
      <c r="A26" s="10" t="inlineStr">
        <is>
          <t>RI</t>
        </is>
      </c>
      <c r="B26" s="10" t="n">
        <v>0</v>
      </c>
      <c r="C26" s="10" t="n">
        <v>0</v>
      </c>
      <c r="D26" s="10" t="n">
        <v>0.58</v>
      </c>
      <c r="E26" s="10" t="n">
        <v>0.9</v>
      </c>
      <c r="F26" s="10" t="n">
        <v>1.12</v>
      </c>
      <c r="G26" s="10" t="n">
        <v>1.24</v>
      </c>
      <c r="H26" s="10" t="n">
        <v>1.32</v>
      </c>
      <c r="I26" s="10" t="n">
        <v>1.41</v>
      </c>
      <c r="J26" s="10" t="n">
        <v>1.46</v>
      </c>
      <c r="K26" s="10" t="n">
        <v>1.49</v>
      </c>
    </row>
  </sheetData>
  <mergeCells count="11">
    <mergeCell ref="B9:E9"/>
    <mergeCell ref="A12:E12"/>
    <mergeCell ref="B8:E8"/>
    <mergeCell ref="B4:E4"/>
    <mergeCell ref="A24:E24"/>
    <mergeCell ref="B6:E6"/>
    <mergeCell ref="B7:E7"/>
    <mergeCell ref="A1:E1"/>
    <mergeCell ref="B5:E5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2026-02-04T13:25:54Z</dcterms:created>
  <dcterms:modified xsi:type="dcterms:W3CDTF">2026-02-04T13:25:54Z</dcterms:modified>
</cp:coreProperties>
</file>